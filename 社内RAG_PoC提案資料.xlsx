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8"/>
  </bookViews>
  <sheets>
    <sheet name="01_目的" sheetId="1" state="visible" r:id="rId3"/>
    <sheet name="02_全体フロー" sheetId="2" state="visible" r:id="rId4"/>
    <sheet name="03_サービス一覧" sheetId="3" state="visible" r:id="rId5"/>
    <sheet name="04_セキュリティ" sheetId="4" state="visible" r:id="rId6"/>
    <sheet name="05_構成の選定理由" sheetId="5" state="visible" r:id="rId7"/>
    <sheet name="06_費用概算" sheetId="6" state="visible" r:id="rId8"/>
    <sheet name="07_本格化ロードマップ" sheetId="7" state="visible" r:id="rId9"/>
    <sheet name="08_公式資料と確認事項" sheetId="8" state="visible" r:id="rId10"/>
    <sheet name="(参考)実験" sheetId="9" state="visible" r:id="rId1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<sst xmlns="http://schemas.openxmlformats.org/spreadsheetml/2006/main" count="1817" uniqueCount="296">
  <si>
    <t xml:space="preserve">小さく始め、社内RAGの有効性を確かめる</t>
  </si>
  <si>
    <t xml:space="preserve">提案案｜2026-10-06｜まずは限定した文書と利用者で試す</t>
  </si>
  <si>
    <t xml:space="preserve">最小構成で、社内文書の検索・回答をどこまで効率化できるかを検証する。
費用を抑えながら、AWS上に社内文書を安全に蓄積し、根拠を確認できる回答につなげる。</t>
  </si>
  <si>
    <t xml:space="preserve">今回つくるもの</t>
  </si>
  <si>
    <t xml:space="preserve">S3を文書の保管場所とし、Bedrock Knowledge Basesで検索と回答をつなぐ。
検索用データはS3 Vectorsに保存し、常駐サーバーを持たない小さな構成から始める。</t>
  </si>
  <si>
    <t xml:space="preserve">検証する範囲</t>
  </si>
  <si>
    <t xml:space="preserve">対象は規程・手順書・FAQなど50文書程度、利用者は2〜5人、期間は2〜4週間を想定。
参加者全員が閲覧できる文書だけを使い、回答の正しさ・引用の妥当性・作業時間・費用を測る。</t>
  </si>
  <si>
    <t xml:space="preserve">このPoCで判断したいこと</t>
  </si>
  <si>
    <t xml:space="preserve">「文書を探す時間が減るか」「根拠のある回答を得られるか」「運用費に見合うか」を判断する。
効果が確認できたら、社員向け認証や文書ごとの権限制御を追加し、本格利用へ進める。</t>
  </si>
  <si>
    <t xml:space="preserve">承認いただきたい範囲：対象文書と参加者／クラウド処理の条件／試行期間／AWS費用の月額予算枠1,000円（案）
構築・評価の人件費は別。承認条件の詳細は「04_セキュリティ」を参照。</t>
  </si>
  <si>
    <t xml:space="preserve">文書を保管し、必要な情報を探してAIに渡す</t>
  </si>
  <si>
    <t xml:space="preserve">原本を保存する場所と、AIが文章を処理する役割を分けて見る</t>
  </si>
  <si>
    <t xml:space="preserve">各サービスは何を担当するか</t>
  </si>
  <si>
    <t xml:space="preserve">PoCの中心機能と、本格化時の追加候補を区別する。</t>
  </si>
  <si>
    <t xml:space="preserve">サービス・用語</t>
  </si>
  <si>
    <t xml:space="preserve">身近な言い方／役割</t>
  </si>
  <si>
    <t xml:space="preserve">詳細</t>
  </si>
  <si>
    <t xml:space="preserve">PoCでの位置付け</t>
  </si>
  <si>
    <t xml:space="preserve">設定・費用の注意</t>
  </si>
  <si>
    <t xml:space="preserve">利用フェーズ</t>
  </si>
  <si>
    <t xml:space="preserve">Amazon S3</t>
  </si>
  <si>
    <t xml:space="preserve">原本のコピーを置くファイル保管庫。</t>
  </si>
  <si>
    <t xml:space="preserve">AWSのファイル保管サービスです。今回の構成では、RAGに検索させたい社内文書（PDF、Word、Excelなど）の保管場所として使用します。PoCではAWS管理画面からS3へファイルをアップロードし、Bedrock Knowledge Basesがそのファイルを読み込みます。</t>
  </si>
  <si>
    <t xml:space="preserve">必須：承認済みPDF・テキスト等を保管。</t>
  </si>
  <si>
    <t xml:space="preserve">容量・読み書き・転送に課金。公開禁止と保存期限を設定。</t>
  </si>
  <si>
    <t xml:space="preserve">Poc</t>
  </si>
  <si>
    <t xml:space="preserve">Bedrock Knowledge Bases</t>
  </si>
  <si>
    <t xml:space="preserve">文書の取り込み・検索・回答の連携を管理する担当者。</t>
  </si>
  <si>
    <t xml:space="preserve">RAG検索の仕組みを簡単に構築するためのマネージドサービスです。通常RAGでは、文書の読み込み・分割・ベクトル化・検索・LLMへの受け渡し・回答生成といった処理を組み合わせる必要があります。Knowledge BasesではこれらをAWS側で連携して実行でき、アプリ側からはRAGの一連の処理を簡単に利用できます。</t>
  </si>
  <si>
    <t xml:space="preserve">必須：分割、Embedding呼び出し、検索をつなぐ。</t>
  </si>
  <si>
    <t xml:space="preserve">解析方式、分割、同期、取得件数を設定。利用するモデル・保存先等の費用を確認。</t>
  </si>
  <si>
    <t xml:space="preserve">Embeddingモデル</t>
  </si>
  <si>
    <t xml:space="preserve">文書や質問を、意味を比較できる数値に変える変換器。</t>
  </si>
  <si>
    <t xml:space="preserve">文章を「意味を表す数値の並び（ベクトル）」へ変換するAIモデルです。質問文と社内文書を同じ方法でベクトル化することで、単純なキーワード一致ではなく「意味が近い文書」を検索できるようにします。今回の構成では、RAGの検索部分を支える役割です。</t>
  </si>
  <si>
    <t xml:space="preserve">必須：Titan Text Embeddings V2等を候補に日本語の検索品質を検証。</t>
  </si>
  <si>
    <t xml:space="preserve">文字数＝トークン数ではない。登録・更新と質問の両方に利用。モデル変更時は再索引を計画。</t>
  </si>
  <si>
    <t xml:space="preserve">Amazon S3 Vectors</t>
  </si>
  <si>
    <t xml:space="preserve">意味が似た文書を探す専用の索引。</t>
  </si>
  <si>
    <t xml:space="preserve">Embeddingモデルによって作られたベクトルを保存し、類似したベクトルを検索するためのサービスです。ユーザーの質問に意味的に近い社内文書の断片を探す「ベクトル検索」を担当します。S3をベースとした低コストな構成にできるため、今回のPoCでは大規模な検索基盤を最初から構築せずにRAGを試すために採用します。</t>
  </si>
  <si>
    <t xml:space="preserve">必須：ベクトル・メタデータを保存し、類似検索する。</t>
  </si>
  <si>
    <t xml:space="preserve">通常のS3ファイル置き場とは別資源。ハイブリッド検索は非対応。</t>
  </si>
  <si>
    <t xml:space="preserve">Bedrock 回答モデル</t>
  </si>
  <si>
    <t xml:space="preserve">検索した資料を読み、質問への回答文を作る担当者。</t>
  </si>
  <si>
    <t xml:space="preserve">検索された社内文書を読んで、ユーザーへの最終的な回答を生成するLLMです。Knowledge Basesが取得した関連文書とユーザーの質問を受け取り、それらを基に自然な文章で回答します。今回のPoCでは低コストなモデルから試し、必要に応じてより高性能なモデルへ変更できます。</t>
  </si>
  <si>
    <t xml:space="preserve">回答生成を行う場合に利用。まず検索だけの品質も測る。</t>
  </si>
  <si>
    <t xml:space="preserve">日本語精度、料金、利用地域、保持条件、KB対応で選ぶ。モデル名は未確定。</t>
  </si>
  <si>
    <t xml:space="preserve">IAM／IAM Identity Center</t>
  </si>
  <si>
    <t xml:space="preserve">人とサービスに渡す鍵と、操作できる範囲の規則。</t>
  </si>
  <si>
    <t xml:space="preserve">AWS上で「誰が、どのサービスに、何をしてよいか」を管理する認証・認可の仕組みです。IAMはAWSサービスやシステム間の権限制御にも使われ、IAM Identity Centerは社員などのユーザーがAWS環境へアクセスする際の認証・権限管理をまとめて行うために利用できます。RAGに登録された社内情報へ誰でも自由にアクセスできないようにする基盤です。</t>
  </si>
  <si>
    <t xml:space="preserve">必須：担当者とKBサービスの権限を分ける。MFAを使用。</t>
  </si>
  <si>
    <t xml:space="preserve">ログインできることと、個々の文書を読めることは別。</t>
  </si>
  <si>
    <t xml:space="preserve">PoCで使用（一部）／本格利用で強化</t>
  </si>
  <si>
    <t xml:space="preserve">AWS KMS</t>
  </si>
  <si>
    <t xml:space="preserve">暗号鍵の管理庫。</t>
  </si>
  <si>
    <t xml:space="preserve">データを暗号化するための「暗号鍵」をAWS上で安全に作成・管理するサービスです。S3などに保存された社内文書や関連データを暗号化する際に利用します。AWSサービス標準の暗号化に加えて、組織側で管理する鍵を使用したい場合などに利用します。</t>
  </si>
  <si>
    <t xml:space="preserve">社内規程が要求する場合はPoCから顧客管理鍵を使う。</t>
  </si>
  <si>
    <t xml:space="preserve">既定暗号化と顧客管理鍵は別。鍵・APIの費用、復号権限、削除時の影響を確認。</t>
  </si>
  <si>
    <t xml:space="preserve">PoCで使用（標準暗号化）／本格利用で強化</t>
  </si>
  <si>
    <t xml:space="preserve">CloudTrail／CloudWatch</t>
  </si>
  <si>
    <t xml:space="preserve">操作の記録係／稼働状態やログの監視役。</t>
  </si>
  <si>
    <t xml:space="preserve">AWS環境で「誰が何を操作したか」「システムが正常に動いているか」を記録・監視するためのサービスです。CloudTrailは主にAWS APIや管理操作の監査記録、CloudWatchはログ・メトリクス・アラームなどシステム監視を担当します。本格運用時の監査や障害調査に利用します。</t>
  </si>
  <si>
    <t xml:space="preserve">基本監査と費用・失敗の確認。本格化で収集対象・通知を整備。</t>
  </si>
  <si>
    <t xml:space="preserve">操作履歴と質問本文のログは別。対象イベント、保持、閲覧権限、費用を設定する。</t>
  </si>
  <si>
    <t xml:space="preserve">PoCでは最小限／本格利用で強化</t>
  </si>
  <si>
    <t xml:space="preserve">API Gateway／Lambda／社内SSO</t>
  </si>
  <si>
    <t xml:space="preserve">社員向け窓口と、その裏で権限確認・呼び出しを行う処理。</t>
  </si>
  <si>
    <t xml:space="preserve">社員がAWS管理画面を直接操作せず、社内RAGをWebアプリなどから利用できるようにするための入口・処理基盤です。API Gatewayがアプリからのリクエストを受け、LambdaがBedrockを呼び出し、社内SSOと連携して「誰が利用しているか」を確認します。PoCでは省略し、本格利用時に追加する想定です。</t>
  </si>
  <si>
    <t xml:space="preserve">一般社員向け試行で追加候補。既存社内基盤の利用も可。</t>
  </si>
  <si>
    <t xml:space="preserve">Cognitoや既存IdP連携等を選ぶ。利用者にKB直接アクセスを配らない設計。</t>
  </si>
  <si>
    <t xml:space="preserve">本格利用時に追加</t>
  </si>
  <si>
    <t xml:space="preserve">OpenSearch／Guardrails</t>
  </si>
  <si>
    <t xml:space="preserve">検索の高度化／有害な入出力等を制御する追加機能。</t>
  </si>
  <si>
    <t xml:space="preserve">RAGを本格運用する際に、検索能力やAI利用時の制御を強化するためのサービスです。OpenSearchはより高度な検索や大規模な検索基盤が必要になった場合の選択肢で、Bedrock Guardrailsは不適切な入力・出力や扱わせたくない内容などをAI利用時のルールとして制御するために使用します。PoCでは必要性を確認してから追加します。</t>
  </si>
  <si>
    <t xml:space="preserve">必要性が測定された段階で個別に追加。</t>
  </si>
  <si>
    <t xml:space="preserve">OpenSearchは全文・ベクトル検索等。Guardrailsは文書権限制御の代わりにはならない。</t>
  </si>
  <si>
    <t xml:space="preserve">本格利用時に必要に応じて追加</t>
  </si>
  <si>
    <t xml:space="preserve">文書は非公開で保管し、AIへの受け渡しを管理する</t>
  </si>
  <si>
    <t xml:space="preserve">守る仕組みと、会社として認める条件をセットで決める</t>
  </si>
  <si>
    <t xml:space="preserve">社内文書をどう守るか</t>
  </si>
  <si>
    <t xml:space="preserve">原本と検索用データを自社AWSアカウントに保存し、一般公開を禁止する。
アクセスは指定担当者と必要なサービスに限定し、保存時・通信時ともに暗号化する。</t>
  </si>
  <si>
    <t xml:space="preserve">クラウドAIに直接さらされないか</t>
  </si>
  <si>
    <t xml:space="preserve">AI処理への送信は発生する。登録時に本文を数値化し、回答時に検索した抜粋をBedrockで処理する。
AWSは、顧客コンテンツを基盤モデルの改善に使わず、モデル提供者に共有しないと説明している。</t>
  </si>
  <si>
    <t xml:space="preserve">根拠：AWS公式のデータ保護・FAQ・暗号化・権限の文書（08のS03〜S10）。
「学習に使われない」と「一切保存されない」は別。モデルの保持条件、ログ設定、処理地域も確認する。
今回の案は東京内の推論を使用し、本文ログを常時保存する設定は追加しない。</t>
  </si>
  <si>
    <t xml:space="preserve">組織として承認する前提条件</t>
  </si>
  <si>
    <t xml:space="preserve">① 対象文書：クラウドへの保存・AI処理を認める文書か。文書所有者が確認する。
② 閲覧権限：PoC参加者全員が読める文書に限定する。元文書の権限は自動継承としない。
③ 処理・保存：東京内処理、採用モデルの保持条件、ログ・削除期限を情報管理部門が承認する。
④ 運用責任：管理者、試行終了時のデータ整理、費用上限と停止担当者を決める。</t>
  </si>
  <si>
    <t xml:space="preserve">運用する仕組みを増やさず、業務効果の検証に集中する</t>
  </si>
  <si>
    <t xml:space="preserve">まずは最小構成。追加の投資は、PoCで不足が見えてから判断する。</t>
  </si>
  <si>
    <t xml:space="preserve">今回知りたいのは、社内文書を使った検索と回答が実務で役立つかどうか。
そのため、文書保管はS3、取り込みと検索の連携はKnowledge Bases、検索用の保存先はS3 Vectorsに任せる。
サーバーやデータベースの運用を減らし、文書の準備と回答品質の評価に時間を使う。</t>
  </si>
  <si>
    <t xml:space="preserve">なぜS3 Vectorsから始めるか</t>
  </si>
  <si>
    <t xml:space="preserve">検索サーバーの容量を管理せず、保存量と利用量に応じた費用で試せるため。
文書が少なく、問い合わせも限定したPoCでは、構築・運用の負担を抑えやすいと判断する。</t>
  </si>
  <si>
    <t xml:space="preserve">なぜOpenSearchは最初から採らないか</t>
  </si>
  <si>
    <t xml:space="preserve">全文検索や意味検索を組み合わせる機能は有力だが、今回必要かはまだ分からない。
型番・専門用語の検索漏れが目立つなど、意味検索だけでは目標を満たせない場合に比較・追加する。</t>
  </si>
  <si>
    <t xml:space="preserve">本格化してもS3 Vectorsを必ず置き換える必要はない。精度・速度・費用が要求を満たす限り使い続ける。
なお、OpenSearch Serverlessにも条件付きでscale-to-zeroがあるため、「必ず高額だから除外」とはしない。</t>
  </si>
  <si>
    <t xml:space="preserve">月1,000問なら、まず月額1,000円の予算枠で試す</t>
  </si>
  <si>
    <t xml:space="preserve">東京／Nova Lite＋Titan Text Embeddings V2／税別・人件費別｜単価確認：2026-10-06</t>
  </si>
  <si>
    <t xml:space="preserve">AWS従量費 約170円＋予備費300円
専用画面・閉域接続・人件費等は別</t>
  </si>
  <si>
    <t xml:space="preserve">小規模PoCの試算
主要AWS従量費と予備費を分けて計上</t>
  </si>
  <si>
    <t xml:space="preserve">月額・予備費込み</t>
  </si>
  <si>
    <t xml:space="preserve">初月・予備費込み</t>
  </si>
  <si>
    <t xml:space="preserve">50文書・原本1GB、初回Embedding 100万トークン、月の更新10万トークンを仮定。
月1,000問×入力10,000／出力1,000トークン。入力には質問・指示・取得した文書抜粋を含む。
画像OCR、再ランキング、専用UI、閉域接続、顧客管理KMS鍵は含めない。必要なら別途見積もる。</t>
  </si>
  <si>
    <t xml:space="preserve">変更できる前提</t>
  </si>
  <si>
    <t xml:space="preserve">値</t>
  </si>
  <si>
    <t xml:space="preserve">単位</t>
  </si>
  <si>
    <t xml:space="preserve">備考</t>
  </si>
  <si>
    <t xml:space="preserve">月額の内訳</t>
  </si>
  <si>
    <t xml:space="preserve">単価 USD</t>
  </si>
  <si>
    <t xml:space="preserve">単価の単位</t>
  </si>
  <si>
    <t xml:space="preserve">費用 USD</t>
  </si>
  <si>
    <t xml:space="preserve">質問数／月</t>
  </si>
  <si>
    <t xml:space="preserve">問</t>
  </si>
  <si>
    <t xml:space="preserve">1問につき検索1回</t>
  </si>
  <si>
    <t xml:space="preserve">Nova Lite 入力</t>
  </si>
  <si>
    <t xml:space="preserve">100万token</t>
  </si>
  <si>
    <t xml:space="preserve">入力／問</t>
  </si>
  <si>
    <t xml:space="preserve">トークン</t>
  </si>
  <si>
    <t xml:space="preserve">質問＋文書抜粋＋指示</t>
  </si>
  <si>
    <t xml:space="preserve">Nova Lite 出力</t>
  </si>
  <si>
    <t xml:space="preserve">出力／問</t>
  </si>
  <si>
    <t xml:space="preserve">平均回答長</t>
  </si>
  <si>
    <t xml:space="preserve">Titan V2 質問・更新</t>
  </si>
  <si>
    <t xml:space="preserve">質問Embedding／問</t>
  </si>
  <si>
    <t xml:space="preserve">質問を検索用に数値化</t>
  </si>
  <si>
    <t xml:space="preserve">S3保存</t>
  </si>
  <si>
    <t xml:space="preserve">GB月</t>
  </si>
  <si>
    <t xml:space="preserve">更新Embedding／月</t>
  </si>
  <si>
    <t xml:space="preserve">文書の追加・修正</t>
  </si>
  <si>
    <t xml:space="preserve">S3 PUT等</t>
  </si>
  <si>
    <t xml:space="preserve">1,000回</t>
  </si>
  <si>
    <t xml:space="preserve">初回Embedding</t>
  </si>
  <si>
    <t xml:space="preserve">初回のみ</t>
  </si>
  <si>
    <t xml:space="preserve">S3 GET等</t>
  </si>
  <si>
    <t xml:space="preserve">原本保存</t>
  </si>
  <si>
    <t xml:space="preserve">GB</t>
  </si>
  <si>
    <t xml:space="preserve">テキスト中心</t>
  </si>
  <si>
    <t xml:space="preserve">Vectors保存</t>
  </si>
  <si>
    <t xml:space="preserve">ベクトル保存</t>
  </si>
  <si>
    <t xml:space="preserve">本文等を含む想定</t>
  </si>
  <si>
    <t xml:space="preserve">Vectors PUT</t>
  </si>
  <si>
    <t xml:space="preserve">検索対象データ／回</t>
  </si>
  <si>
    <t xml:space="preserve">非フィルター用メタデータ除外</t>
  </si>
  <si>
    <t xml:space="preserve">Vectors検索回数</t>
  </si>
  <si>
    <t xml:space="preserve">ベクトルPUT／月</t>
  </si>
  <si>
    <t xml:space="preserve">課金GB</t>
  </si>
  <si>
    <t xml:space="preserve">最小課金・再取り込みを加味</t>
  </si>
  <si>
    <t xml:space="preserve">Vectors検索処理</t>
  </si>
  <si>
    <t xml:space="preserve">初回ベクトルPUT</t>
  </si>
  <si>
    <t xml:space="preserve">小分けPUTを含む余裕値</t>
  </si>
  <si>
    <t xml:space="preserve">Vectors返却</t>
  </si>
  <si>
    <t xml:space="preserve">S3 PUT等／月</t>
  </si>
  <si>
    <t xml:space="preserve">回</t>
  </si>
  <si>
    <t xml:space="preserve">LIST等を含む</t>
  </si>
  <si>
    <t xml:space="preserve">その他Vector API</t>
  </si>
  <si>
    <t xml:space="preserve">S3 GET等／月</t>
  </si>
  <si>
    <t xml:space="preserve">同期等を含む</t>
  </si>
  <si>
    <t xml:space="preserve">返却データ／月</t>
  </si>
  <si>
    <t xml:space="preserve">各クエリの無料枠内を仮定</t>
  </si>
  <si>
    <t xml:space="preserve">主要AWS従量費／月</t>
  </si>
  <si>
    <t xml:space="preserve">一覧・管理等を多めに計上</t>
  </si>
  <si>
    <t xml:space="preserve">予備費込み／月</t>
  </si>
  <si>
    <t xml:space="preserve">予備費／月</t>
  </si>
  <si>
    <t xml:space="preserve">USD</t>
  </si>
  <si>
    <t xml:space="preserve">AWS公定価格ではない余裕枠</t>
  </si>
  <si>
    <t xml:space="preserve">初回追加（Embedding＋PUT）</t>
  </si>
  <si>
    <t xml:space="preserve">換算為替</t>
  </si>
  <si>
    <t xml:space="preserve">円／USD</t>
  </si>
  <si>
    <t xml:space="preserve">見積用の仮定、実勢ではない</t>
  </si>
  <si>
    <t xml:space="preserve">初月（初回＋月額＋予備費）</t>
  </si>
  <si>
    <t xml:space="preserve">解釈：この規模ではAWS利用料より、文書整備・評価の人手が費用を左右しやすい。
例：作業8時間×社内時間単価5,000円＝40,000円（人件費の仮定、AWS費用には含めない）。
月額1,000円は承認用の予算枠案。予備費2 USDも仮定であり、請求上限を保証するものではない。</t>
  </si>
  <si>
    <t xml:space="preserve">計算上の範囲：検索対象は10万ベクトル未満、返却はクエリごとの無料枠内。Vector APIは余裕を持って計上。
既定暗号化を使用し、モデル本文ログは無効。追加監査ログ・税・支援契約・転送等は必要性に応じ再見積。
単価は08のS19・S20（AWS公式東京料金データ）。黄色セルで利用量を変更できる。</t>
  </si>
  <si>
    <t xml:space="preserve">安くなる理由：常駐サーバーを置かず、低単価モデルを月1,000問だけ利用する前提のため。
回答生成は約151円／月、その他の主要従量費は約19円／月。予備費300円はAWSの定額料金ではない。
今回の試算は、自社のS3 Vectorsを接続するKnowledge Bases構成。別製品のManaged Knowledge Baseの料金体系は適用していない。
モデル変更、長い会話履歴、検索・生成の再試行、画像解析、監査・閉域要件の追加で費用は増える。
日本語で必要な精度が出ることは未検証。採用モデルと1問当たり実測値でPoC後に再見積もる。</t>
  </si>
  <si>
    <t xml:space="preserve">核となる構成を残し、社員が使える仕組みを周囲に足す</t>
  </si>
  <si>
    <t xml:space="preserve">本格化＝すべて作り直すことではない。利用者と文書の範囲に合わせて拡張する。</t>
  </si>
  <si>
    <t xml:space="preserve">PoCで効果が確認できたら、S3・Knowledge Bases・S3 Vectors・Bedrockの構成を土台として使う。
まず認証と文書ごとの権限制御を追加し、次に文書更新と監査を運用に組み込む。
検索品質や性能に不足が出た部分だけを、追加機能や別の検索基盤で補う。</t>
  </si>
  <si>
    <t xml:space="preserve">1｜担当者の試用から、社員が使える入口へ</t>
  </si>
  <si>
    <t xml:space="preserve">社内SSOと画面・アプリを追加する。利用者の所属と権限を確認し、読める文書だけを検索させる。
現在のRAG処理の「前」に認証・認可を置くことで、共有できる範囲を広げる。</t>
  </si>
  <si>
    <t xml:space="preserve">2｜手動の更新から、日常業務の運用へ</t>
  </si>
  <si>
    <t xml:space="preserve">原本文書の更新・削除を定期同期し、失敗を通知する。利用履歴・費用・障害も監視する。
現在の構成の「周囲」に同期・監査・復旧の仕組みを足し、情報の鮮度と運用責任を明確にする。</t>
  </si>
  <si>
    <t xml:space="preserve">3｜品質・負荷の不足に応じて、検索部分を強化</t>
  </si>
  <si>
    <t xml:space="preserve">分割方法や取得件数を調整し、必要なら再ランキングやOpenSearchの併用・置き換えを比較する。
S3 Vectorsで目標を満たすなら継続する。原本文書と評価問題を残し、変更前後の効果を同じ条件で測る。</t>
  </si>
  <si>
    <t xml:space="preserve">公式資料と実施前の確認事項</t>
  </si>
  <si>
    <t xml:space="preserve">確認日：2026-10-06｜AWS公式資料。単価・対応モデル・リージョン・上限・保持条件は採用時に再確認する。</t>
  </si>
  <si>
    <t xml:space="preserve">ID</t>
  </si>
  <si>
    <t xml:space="preserve">公式資料</t>
  </si>
  <si>
    <t xml:space="preserve">確認した事項／利用前の確認点</t>
  </si>
  <si>
    <t xml:space="preserve">URL</t>
  </si>
  <si>
    <t xml:space="preserve">S01</t>
  </si>
  <si>
    <t xml:space="preserve">KBとS3 Vectorsの連携</t>
  </si>
  <si>
    <t xml:space="preserve">取り込み、検索、引用、意味検索のみ、メタデータ制限。</t>
  </si>
  <si>
    <t xml:space="preserve">https://docs.aws.amazon.com/AmazonS3/latest/userguide/s3-vectors-bedrock-kb.html</t>
  </si>
  <si>
    <t xml:space="preserve">S02</t>
  </si>
  <si>
    <t xml:space="preserve">S3データソース</t>
  </si>
  <si>
    <t xml:space="preserve">同期・検索権限。元データの権限を自動継承する前提にしない。</t>
  </si>
  <si>
    <t xml:space="preserve">https://docs.aws.amazon.com/bedrock/latest/userguide/s3-data-source-connector.html</t>
  </si>
  <si>
    <t xml:space="preserve">S03</t>
  </si>
  <si>
    <t xml:space="preserve">Bedrockのデータ保護</t>
  </si>
  <si>
    <t xml:space="preserve">責任共有、TLS、モデル提供者のアクセス制限。</t>
  </si>
  <si>
    <t xml:space="preserve">https://docs.aws.amazon.com/bedrock/latest/userguide/data-protection.html</t>
  </si>
  <si>
    <t xml:space="preserve">S04</t>
  </si>
  <si>
    <t xml:space="preserve">Bedrock FAQ</t>
  </si>
  <si>
    <t xml:space="preserve">基盤モデルの改善への不使用、モデル提供者への非共有。保持条件はS05・S06も参照。</t>
  </si>
  <si>
    <t xml:space="preserve">https://aws.amazon.com/bedrock/faqs/</t>
  </si>
  <si>
    <t xml:space="preserve">S05</t>
  </si>
  <si>
    <t xml:space="preserve">入力・出力の保持</t>
  </si>
  <si>
    <t xml:space="preserve">保持設定はリージョン・モデル・APIに依存。採用する呼出経路で確認する。</t>
  </si>
  <si>
    <t xml:space="preserve">https://docs.aws.amazon.com/bedrock/latest/userguide/data-retention.html</t>
  </si>
  <si>
    <t xml:space="preserve">S06</t>
  </si>
  <si>
    <t xml:space="preserve">不正利用検知の例外</t>
  </si>
  <si>
    <t xml:space="preserve">一部モデルに最大30日等の保持とAWSレビューの条件。採用直前に再確認。</t>
  </si>
  <si>
    <t xml:space="preserve">https://docs.aws.amazon.com/bedrock/latest/userguide/abuse-detection.html</t>
  </si>
  <si>
    <t xml:space="preserve">S07</t>
  </si>
  <si>
    <t xml:space="preserve">S3 Vectors暗号化</t>
  </si>
  <si>
    <t xml:space="preserve">SSE-S3が既定。KMS顧客管理鍵も選択可能。</t>
  </si>
  <si>
    <t xml:space="preserve">https://docs.aws.amazon.com/AmazonS3/latest/userguide/s3-vectors-data-encryption.html</t>
  </si>
  <si>
    <t xml:space="preserve">S08</t>
  </si>
  <si>
    <t xml:space="preserve">S3公開禁止</t>
  </si>
  <si>
    <t xml:space="preserve">Block Public Accessと権限ポリシーを併せて確認。</t>
  </si>
  <si>
    <t xml:space="preserve">https://docs.aws.amazon.com/AmazonS3/latest/userguide/access-control-block-public-access.html</t>
  </si>
  <si>
    <t xml:space="preserve">S09</t>
  </si>
  <si>
    <t xml:space="preserve">S3暗号化</t>
  </si>
  <si>
    <t xml:space="preserve">原本側の保存時暗号化。</t>
  </si>
  <si>
    <t xml:space="preserve">https://docs.aws.amazon.com/AmazonS3/latest/userguide/UsingEncryption.html</t>
  </si>
  <si>
    <t xml:space="preserve">S10</t>
  </si>
  <si>
    <t xml:space="preserve">KBサービスロール</t>
  </si>
  <si>
    <t xml:space="preserve">データソース、モデル、ベクトル、鍵へのアクセス権限。</t>
  </si>
  <si>
    <t xml:space="preserve">https://docs.aws.amazon.com/bedrock/latest/userguide/kb-permissions.html</t>
  </si>
  <si>
    <t xml:space="preserve">S11</t>
  </si>
  <si>
    <t xml:space="preserve">PrivateLink</t>
  </si>
  <si>
    <t xml:space="preserve">VPCとBedrock間の私設接続。全処理の自社VPC内実行とは異なる。</t>
  </si>
  <si>
    <t xml:space="preserve">https://docs.aws.amazon.com/bedrock/latest/userguide/vpc-interface-endpoints.html</t>
  </si>
  <si>
    <t xml:space="preserve">S12</t>
  </si>
  <si>
    <t xml:space="preserve">クロスリージョン推論</t>
  </si>
  <si>
    <t xml:space="preserve">プロンプトの処理先と、例外保持の保存先に注意。</t>
  </si>
  <si>
    <t xml:space="preserve">https://docs.aws.amazon.com/bedrock/latest/userguide/geographic-cross-region-inference.html</t>
  </si>
  <si>
    <t xml:space="preserve">S13</t>
  </si>
  <si>
    <t xml:space="preserve">モデル呼び出しログ</t>
  </si>
  <si>
    <t xml:space="preserve">既定は無効。本文保存先と対象APIを確認。</t>
  </si>
  <si>
    <t xml:space="preserve">https://docs.aws.amazon.com/bedrock/latest/userguide/model-invocation-logging.html</t>
  </si>
  <si>
    <t xml:space="preserve">S14</t>
  </si>
  <si>
    <t xml:space="preserve">S3 Vectors提供地域</t>
  </si>
  <si>
    <t xml:space="preserve">候補地域でのエンドポイント・割当上限を確認する。</t>
  </si>
  <si>
    <t xml:space="preserve">https://docs.aws.amazon.com/AmazonS3/latest/userguide/s3-vectors-regions-quotas.html</t>
  </si>
  <si>
    <t xml:space="preserve">S15</t>
  </si>
  <si>
    <t xml:space="preserve">Bedrock料金</t>
  </si>
  <si>
    <t xml:space="preserve">モデル・地域・方式ごとの入出力、Embedding、追加機能を確認。</t>
  </si>
  <si>
    <t xml:space="preserve">https://aws.amazon.com/bedrock/pricing/</t>
  </si>
  <si>
    <t xml:space="preserve">S16</t>
  </si>
  <si>
    <t xml:space="preserve">S3・S3 Vectors料金</t>
  </si>
  <si>
    <t xml:space="preserve">保存、PUT、検索要求・処理量・返却量。料金例の地域を東京と混同しない。</t>
  </si>
  <si>
    <t xml:space="preserve">https://aws.amazon.com/s3/pricing/</t>
  </si>
  <si>
    <t xml:space="preserve">S17</t>
  </si>
  <si>
    <t xml:space="preserve">OpenSearch scale-to-zero</t>
  </si>
  <si>
    <t xml:space="preserve">NextGenの対象グループで適用。無通信10分で計算資源を停止、再開時は待ちがある。</t>
  </si>
  <si>
    <t xml:space="preserve">https://docs.aws.amazon.com/opensearch-service/latest/developerguide/serverless-scale-to-zero.html</t>
  </si>
  <si>
    <t xml:space="preserve">S18</t>
  </si>
  <si>
    <t xml:space="preserve">Managed KBの文書ACL</t>
  </si>
  <si>
    <t xml:space="preserve">別のManaged Knowledge Base向け機能。本提案のS3 Vectors構成への自動適用を前提にしない。</t>
  </si>
  <si>
    <t xml:space="preserve">https://docs.aws.amazon.com/bedrock/latest/userguide/kb-managed-ds-s3-acl.html</t>
  </si>
  <si>
    <t xml:space="preserve">S19</t>
  </si>
  <si>
    <t xml:space="preserve">東京のBedrock公式単価</t>
  </si>
  <si>
    <t xml:space="preserve">Nova Lite：入力0.072／出力0.288 USD/100万token。Titan V2：0.029 USD/100万token。オンデマンド。</t>
  </si>
  <si>
    <t xml:space="preserve">https://pricing.us-east-1.amazonaws.com/offers/v1.0/aws/AmazonBedrock/current/ap-northeast-1/index.json</t>
  </si>
  <si>
    <t xml:space="preserve">S20</t>
  </si>
  <si>
    <t xml:space="preserve">東京のS3公式単価</t>
  </si>
  <si>
    <t xml:space="preserve">S3 Standard・S3 Vectorsの保存／リクエスト／処理量。06の単価はこの料金データから抽出。</t>
  </si>
  <si>
    <t xml:space="preserve">https://pricing.us-east-1.amazonaws.com/offers/v1.0/aws/AmazonS3/current/ap-northeast-1/index.json</t>
  </si>
  <si>
    <t xml:space="preserve">S21</t>
  </si>
  <si>
    <t xml:space="preserve">Nova Liteの提供地域</t>
  </si>
  <si>
    <t xml:space="preserve">東京のIn-Region推論に対応。試算の回答モデル：amazon.nova-lite-v1:0。</t>
  </si>
  <si>
    <t xml:space="preserve">https://docs.aws.amazon.com/bedrock/latest/userguide/model-card-amazon-nova-lite.html</t>
  </si>
  <si>
    <t xml:space="preserve">S22</t>
  </si>
  <si>
    <t xml:space="preserve">KBのモデル・地域</t>
  </si>
  <si>
    <t xml:space="preserve">Titan Text Embeddings V2：東京に対応。試算はamazon.titan-embed-text-v2:0。</t>
  </si>
  <si>
    <t xml:space="preserve">https://docs.aws.amazon.com/bedrock/latest/userguide/knowledge-base-supported.html</t>
  </si>
  <si>
    <t xml:space="preserve">参考までに</t>
  </si>
  <si>
    <t xml:space="preserve">個人環境にて提案する構成でRAGを構成してみました</t>
  </si>
  <si>
    <t xml:space="preserve">対象のナレッジは私が個人で開発しているアプリケーションの設計書を食わせています</t>
  </si>
  <si>
    <t xml:space="preserve">① 複数の設計情報を横断して回答できる</t>
  </si>
  <si>
    <t xml:space="preserve">　KataGo単体の説明ではなく、KataGo／Spring Boot Backend／Frontend／OpenAIの情報を組み合わせ、責務境界として再構成できている。</t>
  </si>
  <si>
    <t xml:space="preserve">② 単純検索ではなく「問いの観点」で情報を整理できる</t>
  </si>
  <si>
    <t xml:space="preserve">　取得した情報をそのまま列挙するのではなく、「担当する責務／担当しない責務」という観点で整理し、責務表まで生成している。</t>
  </si>
  <si>
    <t xml:space="preserve">③ 回答根拠を追跡できる</t>
  </si>
  <si>
    <t xml:space="preserve">　各記述に引用が付与され、元のS3文書・該当チャンクまで確認可能。AIの回答を設計レビュー等に利用する場合の説明可能性を確保できる。</t>
  </si>
  <si>
    <t xml:space="preserve">④ 検索失敗からのリカバリが行われている</t>
  </si>
  <si>
    <t xml:space="preserve">　トレース上、一部の検索クエリでは0件だったが、検索クエリを再構成して追加検索し、必要な情報を取得している。</t>
  </si>
  <si>
    <t xml:space="preserve">　※トレース情報は長いので省略します。要は「Spring Boot Backend 責務」という検索ではヒットしなかったにも関わらず、別クエリを動的に作成して情報を収集してる。</t>
  </si>
  <si>
    <t xml:space="preserve">⑤ Architecture理解支援への応用可能性がある</t>
  </si>
  <si>
    <t xml:space="preserve">　「KataGoについて教えて」のような単純な文書検索ではなく、「責務の境界」という設計上の問いに回答できており、Architecture理解・設計レビューへの応用が期待できる。</t>
  </si>
  <si>
    <t xml:space="preserve">注意: 回答が自然であることと、内容が正しいことは別。引用元の妥当性、検索漏れ、文書に存在しない事項への推論については別途評価が必要</t>
  </si>
  <si>
    <t xml:space="preserve">① Knowledgeに存在しない手順を捏造しなかった</t>
  </si>
  <si>
    <t xml:space="preserve">　「モデル変更の対処手順そのものは見つからない」と明示しており、不足情報を推測だけで作業手順として提示していない。</t>
  </si>
  <si>
    <t xml:space="preserve">② 関連情報から、対応に必要と思われる箇所を抽出できた</t>
  </si>
  <si>
    <t xml:space="preserve">　直接的な手順書がなくても、Dockerfile、モデルパス、環境変数、KataGoProperties、KataGoProcessManager などの関連情報を横断的に取得している。</t>
  </si>
  <si>
    <t xml:space="preserve">③ 事実と推論をある程度分離できている</t>
  </si>
  <si>
    <t xml:space="preserve">　「環境変数で指定されている」は確認できた事実として扱い、「モデル変更時には更新する必要があると考えられる」は推論として表現している。</t>
  </si>
  <si>
    <t xml:space="preserve">④ Knowledgeの不足そのものを検出できる</t>
  </si>
  <si>
    <t xml:space="preserve">　「なぜ katago-b10c128 を採用したか」が未確認であることや、モデル変更手順・再ビルド要否・analysis.cfg との整合確認が文書化されていないことを指摘している。</t>
  </si>
</sst>
</file>

<file path=xl/styles.xml><?xml version="1.0" encoding="utf-8"?>
<styleSheet xmlns="http://schemas.openxmlformats.org/spreadsheetml/2006/main">
  <numFmts count="9">
    <numFmt numFmtId="164" formatCode="General"/>
    <numFmt numFmtId="165" formatCode="#,##0&quot; 円&quot;"/>
    <numFmt numFmtId="166" formatCode="#,##0"/>
    <numFmt numFmtId="167" formatCode="0.000"/>
    <numFmt numFmtId="168" formatCode="0.0000"/>
    <numFmt numFmtId="169" formatCode="0.00000"/>
    <numFmt numFmtId="170" formatCode="0.00"/>
    <numFmt numFmtId="171" formatCode="0.0"/>
    <numFmt numFmtId="172" formatCode="0.000000000"/>
  </numFmts>
  <fonts count="27">
    <font>
      <sz val="10"/>
      <name val="Noto Sans JP"/>
      <family val="2"/>
      <charset val="128"/>
    </font>
    <font>
      <sz val="10"/>
      <name val="Arial"/>
      <family val="0"/>
      <charset val="128"/>
    </font>
    <font>
      <sz val="10"/>
      <name val="Arial"/>
      <family val="0"/>
      <charset val="128"/>
    </font>
    <font>
      <sz val="10"/>
      <name val="Arial"/>
      <family val="0"/>
      <charset val="128"/>
    </font>
    <font>
      <sz val="11"/>
      <name val="Calibri"/>
      <family val="0"/>
      <charset val="1"/>
    </font>
    <font>
      <sz val="13"/>
      <color rgb="FF243247"/>
      <name val="Yu Gothic"/>
      <family val="0"/>
      <charset val="1"/>
    </font>
    <font>
      <b val="true"/>
      <sz val="19"/>
      <color rgb="FF243247"/>
      <name val="Yu Gothic"/>
      <family val="0"/>
      <charset val="1"/>
    </font>
    <font>
      <sz val="11"/>
      <color rgb="FF243247"/>
      <name val="Yu Gothic"/>
      <family val="0"/>
      <charset val="1"/>
    </font>
    <font>
      <b val="true"/>
      <sz val="17"/>
      <color rgb="FF243247"/>
      <name val="Yu Gothic"/>
      <family val="0"/>
      <charset val="1"/>
    </font>
    <font>
      <b val="true"/>
      <sz val="14"/>
      <color rgb="FF243247"/>
      <name val="Yu Gothic"/>
      <family val="0"/>
      <charset val="1"/>
    </font>
    <font>
      <sz val="12"/>
      <color rgb="FF243247"/>
      <name val="Yu Gothic"/>
      <family val="0"/>
      <charset val="1"/>
    </font>
    <font>
      <sz val="12"/>
      <color rgb="FF243247"/>
      <name val="Yu Gothic"/>
      <family val="0"/>
      <charset val="128"/>
    </font>
    <font>
      <b val="true"/>
      <sz val="16"/>
      <color rgb="FF243247"/>
      <name val="Yu Gothic"/>
      <family val="0"/>
      <charset val="128"/>
    </font>
    <font>
      <b val="true"/>
      <sz val="14"/>
      <color rgb="FF243247"/>
      <name val="Yu Gothic"/>
      <family val="0"/>
      <charset val="128"/>
    </font>
    <font>
      <sz val="11"/>
      <color rgb="FF243247"/>
      <name val="Yu Gothic"/>
      <family val="0"/>
      <charset val="128"/>
    </font>
    <font>
      <b val="true"/>
      <sz val="16"/>
      <color rgb="FF183153"/>
      <name val="Yu Gothic"/>
      <family val="0"/>
      <charset val="128"/>
    </font>
    <font>
      <sz val="12"/>
      <color rgb="FF6A578A"/>
      <name val="Yu Gothic"/>
      <family val="0"/>
      <charset val="128"/>
    </font>
    <font>
      <sz val="13"/>
      <color rgb="FF243247"/>
      <name val="Yu Gothic"/>
      <family val="0"/>
      <charset val="128"/>
    </font>
    <font>
      <b val="true"/>
      <sz val="11"/>
      <color rgb="FFFFFFFF"/>
      <name val="Yu Gothic"/>
      <family val="0"/>
      <charset val="1"/>
    </font>
    <font>
      <sz val="11"/>
      <name val="Noto Sans JP"/>
      <family val="2"/>
      <charset val="128"/>
    </font>
    <font>
      <b val="true"/>
      <sz val="16"/>
      <color rgb="FF243247"/>
      <name val="Yu Gothic"/>
      <family val="0"/>
      <charset val="1"/>
    </font>
    <font>
      <b val="true"/>
      <sz val="12"/>
      <color rgb="FF243247"/>
      <name val="Yu Gothic"/>
      <family val="0"/>
      <charset val="1"/>
    </font>
    <font>
      <b val="true"/>
      <sz val="11"/>
      <color rgb="FF243247"/>
      <name val="Yu Gothic"/>
      <family val="0"/>
      <charset val="1"/>
    </font>
    <font>
      <b val="true"/>
      <sz val="20"/>
      <color rgb="FF243247"/>
      <name val="Yu Gothic"/>
      <family val="0"/>
      <charset val="1"/>
    </font>
    <font>
      <b val="true"/>
      <sz val="12"/>
      <name val="Noto Sans JP"/>
      <family val="2"/>
      <charset val="128"/>
    </font>
    <font>
      <sz val="12"/>
      <name val="Noto Sans JP"/>
      <family val="2"/>
      <charset val="128"/>
    </font>
    <font>
      <b val="true"/>
      <sz val="10"/>
      <name val="Noto Sans JP"/>
      <family val="2"/>
      <charset val="128"/>
    </font>
  </fonts>
  <fills count="7">
    <fill>
      <patternFill patternType="none"/>
    </fill>
    <fill>
      <patternFill patternType="gray125"/>
    </fill>
    <fill>
      <patternFill patternType="solid">
        <fgColor rgb="FFFFFFFF"/>
        <bgColor rgb="FFEAF2F8"/>
      </patternFill>
    </fill>
    <fill>
      <patternFill patternType="solid">
        <fgColor rgb="FFEAF2F8"/>
        <bgColor rgb="FFE6F1EB"/>
      </patternFill>
    </fill>
    <fill>
      <patternFill patternType="solid">
        <fgColor rgb="FFFFF2D7"/>
        <bgColor rgb="FFE6F1EB"/>
      </patternFill>
    </fill>
    <fill>
      <patternFill patternType="solid">
        <fgColor rgb="FF183153"/>
        <bgColor rgb="FF243247"/>
      </patternFill>
    </fill>
    <fill>
      <patternFill patternType="solid">
        <fgColor rgb="FFE6F1EB"/>
        <bgColor rgb="FFEAF2F8"/>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center" textRotation="0" wrapText="false" indent="0" shrinkToFit="false"/>
      <protection locked="true" hidden="false"/>
    </xf>
    <xf numFmtId="164" fontId="6" fillId="2" borderId="0" xfId="20" applyFont="true" applyBorder="true" applyAlignment="true" applyProtection="true">
      <alignment horizontal="general" vertical="center" textRotation="0" wrapText="true" indent="0" shrinkToFit="false"/>
      <protection locked="true" hidden="false"/>
    </xf>
    <xf numFmtId="164" fontId="7" fillId="2" borderId="0" xfId="20" applyFont="true" applyBorder="true" applyAlignment="true" applyProtection="true">
      <alignment horizontal="general" vertical="center" textRotation="0" wrapText="true" indent="0" shrinkToFit="false"/>
      <protection locked="true" hidden="false"/>
    </xf>
    <xf numFmtId="164" fontId="8" fillId="3" borderId="0" xfId="20" applyFont="true" applyBorder="true" applyAlignment="true" applyProtection="true">
      <alignment horizontal="general" vertical="center" textRotation="0" wrapText="true" indent="0" shrinkToFit="false"/>
      <protection locked="true" hidden="false"/>
    </xf>
    <xf numFmtId="164" fontId="9" fillId="3" borderId="0" xfId="20" applyFont="true" applyBorder="true" applyAlignment="true" applyProtection="true">
      <alignment horizontal="general" vertical="center" textRotation="0" wrapText="true" indent="0" shrinkToFit="false"/>
      <protection locked="true" hidden="false"/>
    </xf>
    <xf numFmtId="164" fontId="5" fillId="2" borderId="0" xfId="20" applyFont="true" applyBorder="true" applyAlignment="true" applyProtection="true">
      <alignment horizontal="general" vertical="center" textRotation="0" wrapText="true" indent="0" shrinkToFit="false"/>
      <protection locked="true" hidden="false"/>
    </xf>
    <xf numFmtId="164" fontId="10" fillId="4" borderId="0" xfId="20" applyFont="true" applyBorder="true" applyAlignment="true" applyProtection="true">
      <alignment horizontal="general" vertical="center" textRotation="0" wrapText="true" indent="0" shrinkToFit="false"/>
      <protection locked="true" hidden="false"/>
    </xf>
    <xf numFmtId="164" fontId="7" fillId="0" borderId="0" xfId="20" applyFont="true" applyBorder="true" applyAlignment="true" applyProtection="true">
      <alignment horizontal="general" vertical="center" textRotation="0" wrapText="true" indent="0" shrinkToFit="false"/>
      <protection locked="true" hidden="false"/>
    </xf>
    <xf numFmtId="164" fontId="8" fillId="0" borderId="0" xfId="20" applyFont="true" applyBorder="true" applyAlignment="true" applyProtection="true">
      <alignment horizontal="general" vertical="center" textRotation="0" wrapText="false" indent="0" shrinkToFit="false"/>
      <protection locked="true" hidden="false"/>
    </xf>
    <xf numFmtId="164" fontId="7" fillId="0" borderId="0" xfId="20" applyFont="true" applyBorder="true" applyAlignment="true" applyProtection="true">
      <alignment horizontal="general" vertical="center" textRotation="0" wrapText="false" indent="0" shrinkToFit="false"/>
      <protection locked="true" hidden="false"/>
    </xf>
    <xf numFmtId="164" fontId="18" fillId="5" borderId="1" xfId="20" applyFont="true" applyBorder="true" applyAlignment="true" applyProtection="true">
      <alignment horizontal="general" vertical="center" textRotation="0" wrapText="true" indent="0" shrinkToFit="false"/>
      <protection locked="true" hidden="false"/>
    </xf>
    <xf numFmtId="164" fontId="7" fillId="2" borderId="1" xfId="20" applyFont="true" applyBorder="true" applyAlignment="true" applyProtection="true">
      <alignment horizontal="general" vertical="top" textRotation="0" wrapText="true" indent="0" shrinkToFit="false"/>
      <protection locked="true" hidden="false"/>
    </xf>
    <xf numFmtId="164" fontId="7" fillId="2" borderId="1" xfId="20" applyFont="true" applyBorder="true" applyAlignment="true" applyProtection="true">
      <alignment horizontal="left"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0" fillId="3" borderId="0" xfId="20" applyFont="true" applyBorder="true" applyAlignment="true" applyProtection="true">
      <alignment horizontal="general" vertical="center" textRotation="0" wrapText="true" indent="0" shrinkToFit="false"/>
      <protection locked="true" hidden="false"/>
    </xf>
    <xf numFmtId="164" fontId="5" fillId="4" borderId="0" xfId="20" applyFont="true" applyBorder="true" applyAlignment="true" applyProtection="true">
      <alignment horizontal="general" vertical="center" textRotation="0" wrapText="true" indent="0" shrinkToFit="false"/>
      <protection locked="true" hidden="false"/>
    </xf>
    <xf numFmtId="164" fontId="20" fillId="3" borderId="0" xfId="20" applyFont="true" applyBorder="true" applyAlignment="true" applyProtection="true">
      <alignment horizontal="general" vertical="center" textRotation="0" wrapText="true" indent="0" shrinkToFit="false"/>
      <protection locked="true" hidden="false"/>
    </xf>
    <xf numFmtId="164" fontId="5" fillId="6" borderId="0" xfId="20" applyFont="true" applyBorder="true" applyAlignment="true" applyProtection="true">
      <alignment horizontal="general" vertical="center" textRotation="0" wrapText="true" indent="0" shrinkToFit="false"/>
      <protection locked="true" hidden="false"/>
    </xf>
    <xf numFmtId="164" fontId="21" fillId="3" borderId="0" xfId="20" applyFont="true" applyBorder="true" applyAlignment="true" applyProtection="true">
      <alignment horizontal="general" vertical="center" textRotation="0" wrapText="true" indent="0" shrinkToFit="false"/>
      <protection locked="true" hidden="false"/>
    </xf>
    <xf numFmtId="164" fontId="22" fillId="6" borderId="0" xfId="20" applyFont="true" applyBorder="true" applyAlignment="true" applyProtection="true">
      <alignment horizontal="general" vertical="center" textRotation="0" wrapText="true" indent="0" shrinkToFit="false"/>
      <protection locked="true" hidden="false"/>
    </xf>
    <xf numFmtId="165" fontId="23" fillId="3" borderId="0" xfId="20" applyFont="true" applyBorder="true" applyAlignment="true" applyProtection="true">
      <alignment horizontal="general" vertical="center" textRotation="0" wrapText="true" indent="0" shrinkToFit="false"/>
      <protection locked="true" hidden="false"/>
    </xf>
    <xf numFmtId="165" fontId="23" fillId="6" borderId="0" xfId="20" applyFont="true" applyBorder="true" applyAlignment="true" applyProtection="true">
      <alignment horizontal="general" vertical="center" textRotation="0" wrapText="true" indent="0" shrinkToFit="false"/>
      <protection locked="true" hidden="false"/>
    </xf>
    <xf numFmtId="164" fontId="10" fillId="2" borderId="0" xfId="20" applyFont="true" applyBorder="true" applyAlignment="true" applyProtection="true">
      <alignment horizontal="general" vertical="center" textRotation="0" wrapText="true" indent="0" shrinkToFit="false"/>
      <protection locked="true" hidden="false"/>
    </xf>
    <xf numFmtId="164" fontId="18" fillId="5" borderId="0" xfId="20" applyFont="true" applyBorder="true" applyAlignment="true" applyProtection="true">
      <alignment horizontal="general" vertical="center" textRotation="0" wrapText="false" indent="0" shrinkToFit="false"/>
      <protection locked="true" hidden="false"/>
    </xf>
    <xf numFmtId="166" fontId="7" fillId="4" borderId="0" xfId="20" applyFont="true" applyBorder="true" applyAlignment="true" applyProtection="true">
      <alignment horizontal="general" vertical="center" textRotation="0" wrapText="true" indent="0" shrinkToFit="false"/>
      <protection locked="true" hidden="false"/>
    </xf>
    <xf numFmtId="167" fontId="7" fillId="0" borderId="0" xfId="20" applyFont="true" applyBorder="true" applyAlignment="true" applyProtection="true">
      <alignment horizontal="general" vertical="center" textRotation="0" wrapText="true" indent="0" shrinkToFit="false"/>
      <protection locked="true" hidden="false"/>
    </xf>
    <xf numFmtId="168" fontId="7" fillId="0" borderId="0" xfId="20" applyFont="true" applyBorder="true" applyAlignment="true" applyProtection="true">
      <alignment horizontal="general" vertical="center" textRotation="0" wrapText="true" indent="0" shrinkToFit="false"/>
      <protection locked="true" hidden="false"/>
    </xf>
    <xf numFmtId="169" fontId="7" fillId="0" borderId="0" xfId="20" applyFont="true" applyBorder="true" applyAlignment="true" applyProtection="true">
      <alignment horizontal="general" vertical="center" textRotation="0" wrapText="true" indent="0" shrinkToFit="false"/>
      <protection locked="true" hidden="false"/>
    </xf>
    <xf numFmtId="170" fontId="7" fillId="4" borderId="0" xfId="20" applyFont="true" applyBorder="true" applyAlignment="true" applyProtection="true">
      <alignment horizontal="general" vertical="center" textRotation="0" wrapText="true" indent="0" shrinkToFit="false"/>
      <protection locked="true" hidden="false"/>
    </xf>
    <xf numFmtId="171" fontId="7" fillId="4" borderId="0" xfId="20" applyFont="true" applyBorder="true" applyAlignment="true" applyProtection="true">
      <alignment horizontal="general" vertical="center" textRotation="0" wrapText="true" indent="0" shrinkToFit="false"/>
      <protection locked="true" hidden="false"/>
    </xf>
    <xf numFmtId="172" fontId="7" fillId="0" borderId="0" xfId="20" applyFont="true" applyBorder="true" applyAlignment="true" applyProtection="true">
      <alignment horizontal="general" vertical="center" textRotation="0" wrapText="true" indent="0" shrinkToFit="false"/>
      <protection locked="true" hidden="false"/>
    </xf>
    <xf numFmtId="170" fontId="7" fillId="0" borderId="0" xfId="20" applyFont="true" applyBorder="true" applyAlignment="true" applyProtection="true">
      <alignment horizontal="general" vertical="center" textRotation="0" wrapText="true" indent="0" shrinkToFit="false"/>
      <protection locked="true" hidden="false"/>
    </xf>
    <xf numFmtId="164" fontId="7" fillId="3" borderId="0" xfId="20" applyFont="true" applyBorder="true" applyAlignment="true" applyProtection="true">
      <alignment horizontal="general" vertical="center" textRotation="0" wrapText="true" indent="0" shrinkToFit="false"/>
      <protection locked="true" hidden="false"/>
    </xf>
    <xf numFmtId="168" fontId="7" fillId="3" borderId="0" xfId="20" applyFont="true" applyBorder="true" applyAlignment="true" applyProtection="true">
      <alignment horizontal="general" vertical="center" textRotation="0" wrapText="true" indent="0" shrinkToFit="false"/>
      <protection locked="true" hidden="false"/>
    </xf>
    <xf numFmtId="164" fontId="7" fillId="2" borderId="1" xfId="20" applyFont="true" applyBorder="true" applyAlignment="true" applyProtection="true">
      <alignment horizontal="general"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D7"/>
      <rgbColor rgb="FFE6F1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2F8"/>
      <rgbColor rgb="FFCCFFCC"/>
      <rgbColor rgb="FFFFFF99"/>
      <rgbColor rgb="FF99CCFF"/>
      <rgbColor rgb="FFFF99CC"/>
      <rgbColor rgb="FFCC99FF"/>
      <rgbColor rgb="FFFFCC99"/>
      <rgbColor rgb="FF3366FF"/>
      <rgbColor rgb="FF33CCCC"/>
      <rgbColor rgb="FF99CC00"/>
      <rgbColor rgb="FFFFCC00"/>
      <rgbColor rgb="FFFF9900"/>
      <rgbColor rgb="FFFF6600"/>
      <rgbColor rgb="FF6A578A"/>
      <rgbColor rgb="FF969696"/>
      <rgbColor rgb="FF183153"/>
      <rgbColor rgb="FF339966"/>
      <rgbColor rgb="FF003300"/>
      <rgbColor rgb="FF333300"/>
      <rgbColor rgb="FF993300"/>
      <rgbColor rgb="FF993366"/>
      <rgbColor rgb="FF333399"/>
      <rgbColor rgb="FF2432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5</xdr:row>
      <xdr:rowOff>95400</xdr:rowOff>
    </xdr:from>
    <xdr:to>
      <xdr:col>15</xdr:col>
      <xdr:colOff>45360</xdr:colOff>
      <xdr:row>38</xdr:row>
      <xdr:rowOff>142200</xdr:rowOff>
    </xdr:to>
    <xdr:sp>
      <xdr:nvSpPr>
        <xdr:cNvPr id="1" name="概略図の外枠"/>
        <xdr:cNvSpPr/>
      </xdr:nvSpPr>
      <xdr:spPr>
        <a:xfrm>
          <a:off x="142920" y="1285920"/>
          <a:ext cx="10381680" cy="7904880"/>
        </a:xfrm>
        <a:prstGeom prst="roundRect">
          <a:avLst>
            <a:gd name="adj" fmla="val 16667"/>
          </a:avLst>
        </a:prstGeom>
        <a:noFill/>
        <a:ln w="19050">
          <a:solidFill>
            <a:srgbClr val="AEC2D5"/>
          </a:solidFill>
          <a:round/>
        </a:ln>
      </xdr:spPr>
      <xdr:style>
        <a:lnRef idx="0"/>
        <a:fillRef idx="0"/>
        <a:effectRef idx="0"/>
        <a:fontRef idx="minor"/>
      </xdr:style>
    </xdr:sp>
    <xdr:clientData/>
  </xdr:twoCellAnchor>
  <xdr:twoCellAnchor editAs="oneCell">
    <xdr:from>
      <xdr:col>0</xdr:col>
      <xdr:colOff>285840</xdr:colOff>
      <xdr:row>5</xdr:row>
      <xdr:rowOff>190440</xdr:rowOff>
    </xdr:from>
    <xdr:to>
      <xdr:col>14</xdr:col>
      <xdr:colOff>513720</xdr:colOff>
      <xdr:row>6</xdr:row>
      <xdr:rowOff>237240</xdr:rowOff>
    </xdr:to>
    <xdr:sp>
      <xdr:nvSpPr>
        <xdr:cNvPr id="2" name="構成の概略（枠はネットワークやアクセス権の境界を示すものではない）"/>
        <xdr:cNvSpPr/>
      </xdr:nvSpPr>
      <xdr:spPr>
        <a:xfrm>
          <a:off x="285840" y="1380960"/>
          <a:ext cx="10095840" cy="28512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200" b="0" u="none" strike="noStrike">
              <a:solidFill>
                <a:srgbClr val="243247"/>
              </a:solidFill>
              <a:effectLst/>
              <a:uFillTx/>
              <a:latin typeface="Yu Gothic"/>
              <a:ea typeface="Yu Gothic"/>
            </a:rPr>
            <a:t>構成の概略</a:t>
          </a:r>
          <a:endParaRPr lang="en-US" sz="1200" b="0" u="none" strike="noStrike">
            <a:effectLst/>
            <a:uFillTx/>
            <a:latin typeface="Noto Serif JP"/>
          </a:endParaRPr>
        </a:p>
      </xdr:txBody>
    </xdr:sp>
    <xdr:clientData/>
  </xdr:twoCellAnchor>
  <xdr:twoCellAnchor editAs="oneCell">
    <xdr:from>
      <xdr:col>0</xdr:col>
      <xdr:colOff>333360</xdr:colOff>
      <xdr:row>7</xdr:row>
      <xdr:rowOff>114480</xdr:rowOff>
    </xdr:from>
    <xdr:to>
      <xdr:col>4</xdr:col>
      <xdr:colOff>275400</xdr:colOff>
      <xdr:row>8</xdr:row>
      <xdr:rowOff>180360</xdr:rowOff>
    </xdr:to>
    <xdr:sp>
      <xdr:nvSpPr>
        <xdr:cNvPr id="3" name="① 文書の登録・更新"/>
        <xdr:cNvSpPr/>
      </xdr:nvSpPr>
      <xdr:spPr>
        <a:xfrm>
          <a:off x="333360" y="1781280"/>
          <a:ext cx="2761560" cy="30420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600" b="1" u="none" strike="noStrike">
              <a:solidFill>
                <a:srgbClr val="243247"/>
              </a:solidFill>
              <a:effectLst/>
              <a:uFillTx/>
              <a:latin typeface="Yu Gothic"/>
              <a:ea typeface="Yu Gothic"/>
            </a:rPr>
            <a:t>① 文書の登録・更新</a:t>
          </a:r>
          <a:endParaRPr lang="en-US" sz="1600" b="0" u="none" strike="noStrike">
            <a:effectLst/>
            <a:uFillTx/>
            <a:latin typeface="Noto Serif JP"/>
          </a:endParaRPr>
        </a:p>
      </xdr:txBody>
    </xdr:sp>
    <xdr:clientData/>
  </xdr:twoCellAnchor>
  <xdr:twoCellAnchor editAs="oneCell">
    <xdr:from>
      <xdr:col>0</xdr:col>
      <xdr:colOff>428760</xdr:colOff>
      <xdr:row>9</xdr:row>
      <xdr:rowOff>47520</xdr:rowOff>
    </xdr:from>
    <xdr:to>
      <xdr:col>3</xdr:col>
      <xdr:colOff>123120</xdr:colOff>
      <xdr:row>15</xdr:row>
      <xdr:rowOff>46800</xdr:rowOff>
    </xdr:to>
    <xdr:sp>
      <xdr:nvSpPr>
        <xdr:cNvPr id="4" name="Amazon S3 背景"/>
        <xdr:cNvSpPr/>
      </xdr:nvSpPr>
      <xdr:spPr>
        <a:xfrm>
          <a:off x="428760" y="2190600"/>
          <a:ext cx="1809000" cy="1428120"/>
        </a:xfrm>
        <a:prstGeom prst="roundRect">
          <a:avLst>
            <a:gd name="adj" fmla="val 16667"/>
          </a:avLst>
        </a:prstGeom>
        <a:solidFill>
          <a:srgbClr val="EAF2F8"/>
        </a:solidFill>
        <a:ln w="19050">
          <a:noFill/>
        </a:ln>
      </xdr:spPr>
      <xdr:style>
        <a:lnRef idx="0"/>
        <a:fillRef idx="0"/>
        <a:effectRef idx="0"/>
        <a:fontRef idx="minor"/>
      </xdr:style>
    </xdr:sp>
    <xdr:clientData/>
  </xdr:twoCellAnchor>
  <xdr:twoCellAnchor editAs="oneCell">
    <xdr:from>
      <xdr:col>1</xdr:col>
      <xdr:colOff>380880</xdr:colOff>
      <xdr:row>9</xdr:row>
      <xdr:rowOff>152280</xdr:rowOff>
    </xdr:from>
    <xdr:to>
      <xdr:col>2</xdr:col>
      <xdr:colOff>56160</xdr:colOff>
      <xdr:row>11</xdr:row>
      <xdr:rowOff>199080</xdr:rowOff>
    </xdr:to>
    <xdr:sp>
      <xdr:nvSpPr>
        <xdr:cNvPr id="5" name="図形 5"/>
        <xdr:cNvSpPr/>
      </xdr:nvSpPr>
      <xdr:spPr>
        <a:xfrm>
          <a:off x="1085760" y="2295360"/>
          <a:ext cx="380160" cy="523080"/>
        </a:xfrm>
        <a:prstGeom prst="rect">
          <a:avLst/>
        </a:prstGeom>
        <a:noFill/>
        <a:ln w="19050">
          <a:solidFill>
            <a:srgbClr val="183153"/>
          </a:solidFill>
          <a:round/>
        </a:ln>
      </xdr:spPr>
      <xdr:style>
        <a:lnRef idx="0"/>
        <a:fillRef idx="0"/>
        <a:effectRef idx="0"/>
        <a:fontRef idx="minor"/>
      </xdr:style>
    </xdr:sp>
    <xdr:clientData/>
  </xdr:twoCellAnchor>
  <xdr:twoCellAnchor editAs="oneCell">
    <xdr:from>
      <xdr:col>1</xdr:col>
      <xdr:colOff>457200</xdr:colOff>
      <xdr:row>10</xdr:row>
      <xdr:rowOff>95400</xdr:rowOff>
    </xdr:from>
    <xdr:to>
      <xdr:col>1</xdr:col>
      <xdr:colOff>685080</xdr:colOff>
      <xdr:row>10</xdr:row>
      <xdr:rowOff>113760</xdr:rowOff>
    </xdr:to>
    <xdr:sp>
      <xdr:nvSpPr>
        <xdr:cNvPr id="6" name="図形 6"/>
        <xdr:cNvSpPr/>
      </xdr:nvSpPr>
      <xdr:spPr>
        <a:xfrm>
          <a:off x="1162080" y="247680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1</xdr:col>
      <xdr:colOff>457200</xdr:colOff>
      <xdr:row>10</xdr:row>
      <xdr:rowOff>209520</xdr:rowOff>
    </xdr:from>
    <xdr:to>
      <xdr:col>1</xdr:col>
      <xdr:colOff>685080</xdr:colOff>
      <xdr:row>10</xdr:row>
      <xdr:rowOff>227880</xdr:rowOff>
    </xdr:to>
    <xdr:sp>
      <xdr:nvSpPr>
        <xdr:cNvPr id="7" name="図形 7"/>
        <xdr:cNvSpPr/>
      </xdr:nvSpPr>
      <xdr:spPr>
        <a:xfrm>
          <a:off x="1162080" y="259092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1</xdr:col>
      <xdr:colOff>457200</xdr:colOff>
      <xdr:row>11</xdr:row>
      <xdr:rowOff>85680</xdr:rowOff>
    </xdr:from>
    <xdr:to>
      <xdr:col>1</xdr:col>
      <xdr:colOff>685080</xdr:colOff>
      <xdr:row>11</xdr:row>
      <xdr:rowOff>104040</xdr:rowOff>
    </xdr:to>
    <xdr:sp>
      <xdr:nvSpPr>
        <xdr:cNvPr id="8" name="図形 8"/>
        <xdr:cNvSpPr/>
      </xdr:nvSpPr>
      <xdr:spPr>
        <a:xfrm>
          <a:off x="1162080" y="270504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0</xdr:col>
      <xdr:colOff>466560</xdr:colOff>
      <xdr:row>12</xdr:row>
      <xdr:rowOff>19080</xdr:rowOff>
    </xdr:from>
    <xdr:to>
      <xdr:col>3</xdr:col>
      <xdr:colOff>84600</xdr:colOff>
      <xdr:row>13</xdr:row>
      <xdr:rowOff>75600</xdr:rowOff>
    </xdr:to>
    <xdr:sp>
      <xdr:nvSpPr>
        <xdr:cNvPr id="9" name="Amazon S3"/>
        <xdr:cNvSpPr/>
      </xdr:nvSpPr>
      <xdr:spPr>
        <a:xfrm>
          <a:off x="466560" y="287676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400" b="1" u="none" strike="noStrike">
              <a:solidFill>
                <a:srgbClr val="243247"/>
              </a:solidFill>
              <a:effectLst/>
              <a:uFillTx/>
              <a:latin typeface="Yu Gothic"/>
              <a:ea typeface="Yu Gothic"/>
            </a:rPr>
            <a:t>Amazon S3</a:t>
          </a:r>
          <a:endParaRPr lang="en-US" sz="1400" b="0" u="none" strike="noStrike">
            <a:effectLst/>
            <a:uFillTx/>
            <a:latin typeface="Noto Serif JP"/>
          </a:endParaRPr>
        </a:p>
      </xdr:txBody>
    </xdr:sp>
    <xdr:clientData/>
  </xdr:twoCellAnchor>
  <xdr:twoCellAnchor editAs="oneCell">
    <xdr:from>
      <xdr:col>0</xdr:col>
      <xdr:colOff>476280</xdr:colOff>
      <xdr:row>13</xdr:row>
      <xdr:rowOff>104760</xdr:rowOff>
    </xdr:from>
    <xdr:to>
      <xdr:col>3</xdr:col>
      <xdr:colOff>75600</xdr:colOff>
      <xdr:row>14</xdr:row>
      <xdr:rowOff>190080</xdr:rowOff>
    </xdr:to>
    <xdr:sp>
      <xdr:nvSpPr>
        <xdr:cNvPr id="10" name="承認済み文書を保存"/>
        <xdr:cNvSpPr/>
      </xdr:nvSpPr>
      <xdr:spPr>
        <a:xfrm>
          <a:off x="476280" y="32004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承認済み文書を保存</a:t>
          </a:r>
          <a:endParaRPr lang="en-US" sz="1100" b="0" u="none" strike="noStrike">
            <a:effectLst/>
            <a:uFillTx/>
            <a:latin typeface="Noto Serif JP"/>
          </a:endParaRPr>
        </a:p>
      </xdr:txBody>
    </xdr:sp>
    <xdr:clientData/>
  </xdr:twoCellAnchor>
  <xdr:twoCellAnchor editAs="oneCell">
    <xdr:from>
      <xdr:col>4</xdr:col>
      <xdr:colOff>47520</xdr:colOff>
      <xdr:row>9</xdr:row>
      <xdr:rowOff>47520</xdr:rowOff>
    </xdr:from>
    <xdr:to>
      <xdr:col>6</xdr:col>
      <xdr:colOff>446760</xdr:colOff>
      <xdr:row>15</xdr:row>
      <xdr:rowOff>46800</xdr:rowOff>
    </xdr:to>
    <xdr:sp>
      <xdr:nvSpPr>
        <xdr:cNvPr id="11" name="Knowledge Bases 背景"/>
        <xdr:cNvSpPr/>
      </xdr:nvSpPr>
      <xdr:spPr>
        <a:xfrm>
          <a:off x="2867040" y="2190600"/>
          <a:ext cx="1809000" cy="1428120"/>
        </a:xfrm>
        <a:prstGeom prst="roundRect">
          <a:avLst>
            <a:gd name="adj" fmla="val 16667"/>
          </a:avLst>
        </a:prstGeom>
        <a:solidFill>
          <a:srgbClr val="EFEAF8"/>
        </a:solidFill>
        <a:ln w="19050">
          <a:noFill/>
        </a:ln>
      </xdr:spPr>
      <xdr:style>
        <a:lnRef idx="0"/>
        <a:fillRef idx="0"/>
        <a:effectRef idx="0"/>
        <a:fontRef idx="minor"/>
      </xdr:style>
    </xdr:sp>
    <xdr:clientData/>
  </xdr:twoCellAnchor>
  <xdr:twoCellAnchor editAs="oneCell">
    <xdr:from>
      <xdr:col>5</xdr:col>
      <xdr:colOff>0</xdr:colOff>
      <xdr:row>9</xdr:row>
      <xdr:rowOff>152280</xdr:rowOff>
    </xdr:from>
    <xdr:to>
      <xdr:col>5</xdr:col>
      <xdr:colOff>380160</xdr:colOff>
      <xdr:row>11</xdr:row>
      <xdr:rowOff>199080</xdr:rowOff>
    </xdr:to>
    <xdr:sp>
      <xdr:nvSpPr>
        <xdr:cNvPr id="12" name="図形 12"/>
        <xdr:cNvSpPr/>
      </xdr:nvSpPr>
      <xdr:spPr>
        <a:xfrm>
          <a:off x="3524400" y="2295360"/>
          <a:ext cx="380160" cy="523080"/>
        </a:xfrm>
        <a:prstGeom prst="rect">
          <a:avLst/>
        </a:prstGeom>
        <a:noFill/>
        <a:ln w="19050">
          <a:solidFill>
            <a:srgbClr val="183153"/>
          </a:solidFill>
          <a:round/>
        </a:ln>
      </xdr:spPr>
      <xdr:style>
        <a:lnRef idx="0"/>
        <a:fillRef idx="0"/>
        <a:effectRef idx="0"/>
        <a:fontRef idx="minor"/>
      </xdr:style>
    </xdr:sp>
    <xdr:clientData/>
  </xdr:twoCellAnchor>
  <xdr:twoCellAnchor editAs="oneCell">
    <xdr:from>
      <xdr:col>5</xdr:col>
      <xdr:colOff>76320</xdr:colOff>
      <xdr:row>10</xdr:row>
      <xdr:rowOff>95400</xdr:rowOff>
    </xdr:from>
    <xdr:to>
      <xdr:col>5</xdr:col>
      <xdr:colOff>304200</xdr:colOff>
      <xdr:row>10</xdr:row>
      <xdr:rowOff>113760</xdr:rowOff>
    </xdr:to>
    <xdr:sp>
      <xdr:nvSpPr>
        <xdr:cNvPr id="13" name="図形 13"/>
        <xdr:cNvSpPr/>
      </xdr:nvSpPr>
      <xdr:spPr>
        <a:xfrm>
          <a:off x="3600720" y="247680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5</xdr:col>
      <xdr:colOff>76320</xdr:colOff>
      <xdr:row>10</xdr:row>
      <xdr:rowOff>209520</xdr:rowOff>
    </xdr:from>
    <xdr:to>
      <xdr:col>5</xdr:col>
      <xdr:colOff>304200</xdr:colOff>
      <xdr:row>10</xdr:row>
      <xdr:rowOff>227880</xdr:rowOff>
    </xdr:to>
    <xdr:sp>
      <xdr:nvSpPr>
        <xdr:cNvPr id="14" name="図形 14"/>
        <xdr:cNvSpPr/>
      </xdr:nvSpPr>
      <xdr:spPr>
        <a:xfrm>
          <a:off x="3600720" y="259092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5</xdr:col>
      <xdr:colOff>76320</xdr:colOff>
      <xdr:row>11</xdr:row>
      <xdr:rowOff>85680</xdr:rowOff>
    </xdr:from>
    <xdr:to>
      <xdr:col>5</xdr:col>
      <xdr:colOff>304200</xdr:colOff>
      <xdr:row>11</xdr:row>
      <xdr:rowOff>104040</xdr:rowOff>
    </xdr:to>
    <xdr:sp>
      <xdr:nvSpPr>
        <xdr:cNvPr id="15" name="図形 15"/>
        <xdr:cNvSpPr/>
      </xdr:nvSpPr>
      <xdr:spPr>
        <a:xfrm>
          <a:off x="3600720" y="270504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4</xdr:col>
      <xdr:colOff>85680</xdr:colOff>
      <xdr:row>12</xdr:row>
      <xdr:rowOff>19080</xdr:rowOff>
    </xdr:from>
    <xdr:to>
      <xdr:col>6</xdr:col>
      <xdr:colOff>408600</xdr:colOff>
      <xdr:row>13</xdr:row>
      <xdr:rowOff>75600</xdr:rowOff>
    </xdr:to>
    <xdr:sp>
      <xdr:nvSpPr>
        <xdr:cNvPr id="16" name="Knowledge Bases"/>
        <xdr:cNvSpPr/>
      </xdr:nvSpPr>
      <xdr:spPr>
        <a:xfrm>
          <a:off x="2905200" y="287676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400" b="1" u="none" strike="noStrike">
              <a:solidFill>
                <a:srgbClr val="243247"/>
              </a:solidFill>
              <a:effectLst/>
              <a:uFillTx/>
              <a:latin typeface="Yu Gothic"/>
              <a:ea typeface="Yu Gothic"/>
            </a:rPr>
            <a:t>Knowledge Bases</a:t>
          </a:r>
          <a:endParaRPr lang="en-US" sz="1400" b="0" u="none" strike="noStrike">
            <a:effectLst/>
            <a:uFillTx/>
            <a:latin typeface="Noto Serif JP"/>
          </a:endParaRPr>
        </a:p>
      </xdr:txBody>
    </xdr:sp>
    <xdr:clientData/>
  </xdr:twoCellAnchor>
  <xdr:twoCellAnchor editAs="oneCell">
    <xdr:from>
      <xdr:col>4</xdr:col>
      <xdr:colOff>95400</xdr:colOff>
      <xdr:row>13</xdr:row>
      <xdr:rowOff>104760</xdr:rowOff>
    </xdr:from>
    <xdr:to>
      <xdr:col>6</xdr:col>
      <xdr:colOff>399600</xdr:colOff>
      <xdr:row>14</xdr:row>
      <xdr:rowOff>190080</xdr:rowOff>
    </xdr:to>
    <xdr:sp>
      <xdr:nvSpPr>
        <xdr:cNvPr id="17" name="本文を抽出・分割"/>
        <xdr:cNvSpPr/>
      </xdr:nvSpPr>
      <xdr:spPr>
        <a:xfrm>
          <a:off x="2914920" y="32004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本文を抽出・分割</a:t>
          </a:r>
          <a:endParaRPr lang="en-US" sz="1100" b="0" u="none" strike="noStrike">
            <a:effectLst/>
            <a:uFillTx/>
            <a:latin typeface="Noto Serif JP"/>
          </a:endParaRPr>
        </a:p>
      </xdr:txBody>
    </xdr:sp>
    <xdr:clientData/>
  </xdr:twoCellAnchor>
  <xdr:twoCellAnchor editAs="oneCell">
    <xdr:from>
      <xdr:col>7</xdr:col>
      <xdr:colOff>428760</xdr:colOff>
      <xdr:row>9</xdr:row>
      <xdr:rowOff>47520</xdr:rowOff>
    </xdr:from>
    <xdr:to>
      <xdr:col>10</xdr:col>
      <xdr:colOff>123120</xdr:colOff>
      <xdr:row>15</xdr:row>
      <xdr:rowOff>46800</xdr:rowOff>
    </xdr:to>
    <xdr:sp>
      <xdr:nvSpPr>
        <xdr:cNvPr id="18" name="Embedding 背景"/>
        <xdr:cNvSpPr/>
      </xdr:nvSpPr>
      <xdr:spPr>
        <a:xfrm>
          <a:off x="5362560" y="2190600"/>
          <a:ext cx="1809000" cy="1428120"/>
        </a:xfrm>
        <a:prstGeom prst="roundRect">
          <a:avLst>
            <a:gd name="adj" fmla="val 16667"/>
          </a:avLst>
        </a:prstGeom>
        <a:solidFill>
          <a:srgbClr val="EFEAF8"/>
        </a:solidFill>
        <a:ln w="19050">
          <a:noFill/>
        </a:ln>
      </xdr:spPr>
      <xdr:style>
        <a:lnRef idx="0"/>
        <a:fillRef idx="0"/>
        <a:effectRef idx="0"/>
        <a:fontRef idx="minor"/>
      </xdr:style>
    </xdr:sp>
    <xdr:clientData/>
  </xdr:twoCellAnchor>
  <xdr:twoCellAnchor editAs="oneCell">
    <xdr:from>
      <xdr:col>8</xdr:col>
      <xdr:colOff>333360</xdr:colOff>
      <xdr:row>9</xdr:row>
      <xdr:rowOff>200160</xdr:rowOff>
    </xdr:from>
    <xdr:to>
      <xdr:col>9</xdr:col>
      <xdr:colOff>104040</xdr:colOff>
      <xdr:row>11</xdr:row>
      <xdr:rowOff>161280</xdr:rowOff>
    </xdr:to>
    <xdr:sp>
      <xdr:nvSpPr>
        <xdr:cNvPr id="19" name="図形 19"/>
        <xdr:cNvSpPr/>
      </xdr:nvSpPr>
      <xdr:spPr>
        <a:xfrm>
          <a:off x="5972040" y="2343240"/>
          <a:ext cx="475560" cy="437400"/>
        </a:xfrm>
        <a:prstGeom prst="roundRect">
          <a:avLst>
            <a:gd name="adj" fmla="val 16667"/>
          </a:avLst>
        </a:prstGeom>
        <a:noFill/>
        <a:ln w="19050">
          <a:solidFill>
            <a:srgbClr val="183153"/>
          </a:solidFill>
          <a:round/>
        </a:ln>
      </xdr:spPr>
      <xdr:style>
        <a:lnRef idx="0"/>
        <a:fillRef idx="0"/>
        <a:effectRef idx="0"/>
        <a:fontRef idx="minor"/>
      </xdr:style>
    </xdr:sp>
    <xdr:clientData/>
  </xdr:twoCellAnchor>
  <xdr:twoCellAnchor editAs="oneCell">
    <xdr:from>
      <xdr:col>8</xdr:col>
      <xdr:colOff>361800</xdr:colOff>
      <xdr:row>9</xdr:row>
      <xdr:rowOff>228600</xdr:rowOff>
    </xdr:from>
    <xdr:to>
      <xdr:col>9</xdr:col>
      <xdr:colOff>75240</xdr:colOff>
      <xdr:row>11</xdr:row>
      <xdr:rowOff>132480</xdr:rowOff>
    </xdr:to>
    <xdr:sp>
      <xdr:nvSpPr>
        <xdr:cNvPr id="20" name="AI"/>
        <xdr:cNvSpPr/>
      </xdr:nvSpPr>
      <xdr:spPr>
        <a:xfrm>
          <a:off x="6000480" y="2371680"/>
          <a:ext cx="418320" cy="38016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600" b="1" u="none" strike="noStrike">
              <a:solidFill>
                <a:srgbClr val="183153"/>
              </a:solidFill>
              <a:effectLst/>
              <a:uFillTx/>
              <a:latin typeface="Yu Gothic"/>
              <a:ea typeface="Yu Gothic"/>
            </a:rPr>
            <a:t>AI</a:t>
          </a:r>
          <a:endParaRPr lang="en-US" sz="1600" b="0" u="none" strike="noStrike">
            <a:effectLst/>
            <a:uFillTx/>
            <a:latin typeface="Noto Serif JP"/>
          </a:endParaRPr>
        </a:p>
      </xdr:txBody>
    </xdr:sp>
    <xdr:clientData/>
  </xdr:twoCellAnchor>
  <xdr:twoCellAnchor editAs="oneCell">
    <xdr:from>
      <xdr:col>8</xdr:col>
      <xdr:colOff>228600</xdr:colOff>
      <xdr:row>10</xdr:row>
      <xdr:rowOff>162000</xdr:rowOff>
    </xdr:from>
    <xdr:to>
      <xdr:col>8</xdr:col>
      <xdr:colOff>332640</xdr:colOff>
      <xdr:row>10</xdr:row>
      <xdr:rowOff>189720</xdr:rowOff>
    </xdr:to>
    <xdr:sp>
      <xdr:nvSpPr>
        <xdr:cNvPr id="21" name="図形 21"/>
        <xdr:cNvSpPr/>
      </xdr:nvSpPr>
      <xdr:spPr>
        <a:xfrm>
          <a:off x="5867280" y="2543400"/>
          <a:ext cx="104040" cy="27720"/>
        </a:xfrm>
        <a:prstGeom prst="rect">
          <a:avLst/>
        </a:prstGeom>
        <a:solidFill>
          <a:srgbClr val="183153"/>
        </a:solidFill>
        <a:ln w="19050">
          <a:noFill/>
        </a:ln>
      </xdr:spPr>
      <xdr:style>
        <a:lnRef idx="0"/>
        <a:fillRef idx="0"/>
        <a:effectRef idx="0"/>
        <a:fontRef idx="minor"/>
      </xdr:style>
    </xdr:sp>
    <xdr:clientData/>
  </xdr:twoCellAnchor>
  <xdr:twoCellAnchor editAs="oneCell">
    <xdr:from>
      <xdr:col>9</xdr:col>
      <xdr:colOff>47520</xdr:colOff>
      <xdr:row>10</xdr:row>
      <xdr:rowOff>162000</xdr:rowOff>
    </xdr:from>
    <xdr:to>
      <xdr:col>9</xdr:col>
      <xdr:colOff>151560</xdr:colOff>
      <xdr:row>10</xdr:row>
      <xdr:rowOff>189720</xdr:rowOff>
    </xdr:to>
    <xdr:sp>
      <xdr:nvSpPr>
        <xdr:cNvPr id="22" name="図形 22"/>
        <xdr:cNvSpPr/>
      </xdr:nvSpPr>
      <xdr:spPr>
        <a:xfrm>
          <a:off x="6391080" y="2543400"/>
          <a:ext cx="104040" cy="27720"/>
        </a:xfrm>
        <a:prstGeom prst="rect">
          <a:avLst/>
        </a:prstGeom>
        <a:solidFill>
          <a:srgbClr val="183153"/>
        </a:solidFill>
        <a:ln w="19050">
          <a:noFill/>
        </a:ln>
      </xdr:spPr>
      <xdr:style>
        <a:lnRef idx="0"/>
        <a:fillRef idx="0"/>
        <a:effectRef idx="0"/>
        <a:fontRef idx="minor"/>
      </xdr:style>
    </xdr:sp>
    <xdr:clientData/>
  </xdr:twoCellAnchor>
  <xdr:twoCellAnchor editAs="oneCell">
    <xdr:from>
      <xdr:col>8</xdr:col>
      <xdr:colOff>561960</xdr:colOff>
      <xdr:row>9</xdr:row>
      <xdr:rowOff>85680</xdr:rowOff>
    </xdr:from>
    <xdr:to>
      <xdr:col>8</xdr:col>
      <xdr:colOff>589680</xdr:colOff>
      <xdr:row>9</xdr:row>
      <xdr:rowOff>199440</xdr:rowOff>
    </xdr:to>
    <xdr:sp>
      <xdr:nvSpPr>
        <xdr:cNvPr id="23" name="図形 23"/>
        <xdr:cNvSpPr/>
      </xdr:nvSpPr>
      <xdr:spPr>
        <a:xfrm>
          <a:off x="6200640" y="2228760"/>
          <a:ext cx="27720" cy="113760"/>
        </a:xfrm>
        <a:prstGeom prst="rect">
          <a:avLst/>
        </a:prstGeom>
        <a:solidFill>
          <a:srgbClr val="183153"/>
        </a:solidFill>
        <a:ln w="19050">
          <a:noFill/>
        </a:ln>
      </xdr:spPr>
      <xdr:style>
        <a:lnRef idx="0"/>
        <a:fillRef idx="0"/>
        <a:effectRef idx="0"/>
        <a:fontRef idx="minor"/>
      </xdr:style>
    </xdr:sp>
    <xdr:clientData/>
  </xdr:twoCellAnchor>
  <xdr:twoCellAnchor editAs="oneCell">
    <xdr:from>
      <xdr:col>8</xdr:col>
      <xdr:colOff>561960</xdr:colOff>
      <xdr:row>11</xdr:row>
      <xdr:rowOff>162000</xdr:rowOff>
    </xdr:from>
    <xdr:to>
      <xdr:col>8</xdr:col>
      <xdr:colOff>589680</xdr:colOff>
      <xdr:row>12</xdr:row>
      <xdr:rowOff>37440</xdr:rowOff>
    </xdr:to>
    <xdr:sp>
      <xdr:nvSpPr>
        <xdr:cNvPr id="24" name="図形 24"/>
        <xdr:cNvSpPr/>
      </xdr:nvSpPr>
      <xdr:spPr>
        <a:xfrm>
          <a:off x="6200640" y="2781360"/>
          <a:ext cx="27720" cy="113760"/>
        </a:xfrm>
        <a:prstGeom prst="rect">
          <a:avLst/>
        </a:prstGeom>
        <a:solidFill>
          <a:srgbClr val="183153"/>
        </a:solidFill>
        <a:ln w="19050">
          <a:noFill/>
        </a:ln>
      </xdr:spPr>
      <xdr:style>
        <a:lnRef idx="0"/>
        <a:fillRef idx="0"/>
        <a:effectRef idx="0"/>
        <a:fontRef idx="minor"/>
      </xdr:style>
    </xdr:sp>
    <xdr:clientData/>
  </xdr:twoCellAnchor>
  <xdr:twoCellAnchor editAs="oneCell">
    <xdr:from>
      <xdr:col>7</xdr:col>
      <xdr:colOff>466560</xdr:colOff>
      <xdr:row>12</xdr:row>
      <xdr:rowOff>19080</xdr:rowOff>
    </xdr:from>
    <xdr:to>
      <xdr:col>10</xdr:col>
      <xdr:colOff>84600</xdr:colOff>
      <xdr:row>13</xdr:row>
      <xdr:rowOff>75600</xdr:rowOff>
    </xdr:to>
    <xdr:sp>
      <xdr:nvSpPr>
        <xdr:cNvPr id="25" name="Embedding"/>
        <xdr:cNvSpPr/>
      </xdr:nvSpPr>
      <xdr:spPr>
        <a:xfrm>
          <a:off x="5400360" y="287676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400" b="1" u="none" strike="noStrike">
              <a:solidFill>
                <a:srgbClr val="243247"/>
              </a:solidFill>
              <a:effectLst/>
              <a:uFillTx/>
              <a:latin typeface="Yu Gothic"/>
              <a:ea typeface="Yu Gothic"/>
            </a:rPr>
            <a:t>Embedding</a:t>
          </a:r>
          <a:endParaRPr lang="en-US" sz="1400" b="0" u="none" strike="noStrike">
            <a:effectLst/>
            <a:uFillTx/>
            <a:latin typeface="Noto Serif JP"/>
          </a:endParaRPr>
        </a:p>
      </xdr:txBody>
    </xdr:sp>
    <xdr:clientData/>
  </xdr:twoCellAnchor>
  <xdr:twoCellAnchor editAs="oneCell">
    <xdr:from>
      <xdr:col>7</xdr:col>
      <xdr:colOff>476280</xdr:colOff>
      <xdr:row>13</xdr:row>
      <xdr:rowOff>104760</xdr:rowOff>
    </xdr:from>
    <xdr:to>
      <xdr:col>10</xdr:col>
      <xdr:colOff>75600</xdr:colOff>
      <xdr:row>14</xdr:row>
      <xdr:rowOff>190080</xdr:rowOff>
    </xdr:to>
    <xdr:sp>
      <xdr:nvSpPr>
        <xdr:cNvPr id="26" name="本文を数値に変換"/>
        <xdr:cNvSpPr/>
      </xdr:nvSpPr>
      <xdr:spPr>
        <a:xfrm>
          <a:off x="5410080" y="32004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本文を数値に変換</a:t>
          </a:r>
          <a:endParaRPr lang="en-US" sz="1100" b="0" u="none" strike="noStrike">
            <a:effectLst/>
            <a:uFillTx/>
            <a:latin typeface="Noto Serif JP"/>
          </a:endParaRPr>
        </a:p>
      </xdr:txBody>
    </xdr:sp>
    <xdr:clientData/>
  </xdr:twoCellAnchor>
  <xdr:twoCellAnchor editAs="oneCell">
    <xdr:from>
      <xdr:col>11</xdr:col>
      <xdr:colOff>47520</xdr:colOff>
      <xdr:row>9</xdr:row>
      <xdr:rowOff>47520</xdr:rowOff>
    </xdr:from>
    <xdr:to>
      <xdr:col>13</xdr:col>
      <xdr:colOff>446760</xdr:colOff>
      <xdr:row>15</xdr:row>
      <xdr:rowOff>46800</xdr:rowOff>
    </xdr:to>
    <xdr:sp>
      <xdr:nvSpPr>
        <xdr:cNvPr id="27" name="S3 Vectors 背景"/>
        <xdr:cNvSpPr/>
      </xdr:nvSpPr>
      <xdr:spPr>
        <a:xfrm>
          <a:off x="7800840" y="2190600"/>
          <a:ext cx="1809000" cy="1428120"/>
        </a:xfrm>
        <a:prstGeom prst="roundRect">
          <a:avLst>
            <a:gd name="adj" fmla="val 16667"/>
          </a:avLst>
        </a:prstGeom>
        <a:solidFill>
          <a:srgbClr val="EAF2F8"/>
        </a:solidFill>
        <a:ln w="19050">
          <a:noFill/>
        </a:ln>
      </xdr:spPr>
      <xdr:style>
        <a:lnRef idx="0"/>
        <a:fillRef idx="0"/>
        <a:effectRef idx="0"/>
        <a:fontRef idx="minor"/>
      </xdr:style>
    </xdr:sp>
    <xdr:clientData/>
  </xdr:twoCellAnchor>
  <xdr:twoCellAnchor editAs="oneCell">
    <xdr:from>
      <xdr:col>11</xdr:col>
      <xdr:colOff>703440</xdr:colOff>
      <xdr:row>9</xdr:row>
      <xdr:rowOff>152280</xdr:rowOff>
    </xdr:from>
    <xdr:to>
      <xdr:col>12</xdr:col>
      <xdr:colOff>493200</xdr:colOff>
      <xdr:row>11</xdr:row>
      <xdr:rowOff>208800</xdr:rowOff>
    </xdr:to>
    <xdr:sp>
      <xdr:nvSpPr>
        <xdr:cNvPr id="28" name="図形 28"/>
        <xdr:cNvSpPr/>
      </xdr:nvSpPr>
      <xdr:spPr>
        <a:xfrm>
          <a:off x="8456760" y="2295360"/>
          <a:ext cx="494640" cy="532800"/>
        </a:xfrm>
        <a:prstGeom prst="can">
          <a:avLst>
            <a:gd name="adj" fmla="val 25000"/>
          </a:avLst>
        </a:prstGeom>
        <a:noFill/>
        <a:ln w="19050">
          <a:solidFill>
            <a:srgbClr val="183153"/>
          </a:solidFill>
          <a:round/>
        </a:ln>
      </xdr:spPr>
      <xdr:style>
        <a:lnRef idx="0"/>
        <a:fillRef idx="0"/>
        <a:effectRef idx="0"/>
        <a:fontRef idx="minor"/>
      </xdr:style>
    </xdr:sp>
    <xdr:clientData/>
  </xdr:twoCellAnchor>
  <xdr:twoCellAnchor editAs="oneCell">
    <xdr:from>
      <xdr:col>11</xdr:col>
      <xdr:colOff>85680</xdr:colOff>
      <xdr:row>12</xdr:row>
      <xdr:rowOff>19080</xdr:rowOff>
    </xdr:from>
    <xdr:to>
      <xdr:col>13</xdr:col>
      <xdr:colOff>408600</xdr:colOff>
      <xdr:row>13</xdr:row>
      <xdr:rowOff>75600</xdr:rowOff>
    </xdr:to>
    <xdr:sp>
      <xdr:nvSpPr>
        <xdr:cNvPr id="29" name="S3 Vectors"/>
        <xdr:cNvSpPr/>
      </xdr:nvSpPr>
      <xdr:spPr>
        <a:xfrm>
          <a:off x="7839000" y="287676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400" b="1" u="none" strike="noStrike">
              <a:solidFill>
                <a:srgbClr val="243247"/>
              </a:solidFill>
              <a:effectLst/>
              <a:uFillTx/>
              <a:latin typeface="Yu Gothic"/>
              <a:ea typeface="Yu Gothic"/>
            </a:rPr>
            <a:t>S3 Vectors</a:t>
          </a:r>
          <a:endParaRPr lang="en-US" sz="1400" b="0" u="none" strike="noStrike">
            <a:effectLst/>
            <a:uFillTx/>
            <a:latin typeface="Noto Serif JP"/>
          </a:endParaRPr>
        </a:p>
      </xdr:txBody>
    </xdr:sp>
    <xdr:clientData/>
  </xdr:twoCellAnchor>
  <xdr:twoCellAnchor editAs="oneCell">
    <xdr:from>
      <xdr:col>11</xdr:col>
      <xdr:colOff>95400</xdr:colOff>
      <xdr:row>13</xdr:row>
      <xdr:rowOff>104760</xdr:rowOff>
    </xdr:from>
    <xdr:to>
      <xdr:col>13</xdr:col>
      <xdr:colOff>399600</xdr:colOff>
      <xdr:row>14</xdr:row>
      <xdr:rowOff>190080</xdr:rowOff>
    </xdr:to>
    <xdr:sp>
      <xdr:nvSpPr>
        <xdr:cNvPr id="30" name="検索用データを保存"/>
        <xdr:cNvSpPr/>
      </xdr:nvSpPr>
      <xdr:spPr>
        <a:xfrm>
          <a:off x="7848720" y="32004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検索用データを保存</a:t>
          </a:r>
          <a:endParaRPr lang="en-US" sz="1100" b="0" u="none" strike="noStrike">
            <a:effectLst/>
            <a:uFillTx/>
            <a:latin typeface="Noto Serif JP"/>
          </a:endParaRPr>
        </a:p>
      </xdr:txBody>
    </xdr:sp>
    <xdr:clientData/>
  </xdr:twoCellAnchor>
  <xdr:twoCellAnchor editAs="oneCell">
    <xdr:from>
      <xdr:col>3</xdr:col>
      <xdr:colOff>47520</xdr:colOff>
      <xdr:row>11</xdr:row>
      <xdr:rowOff>162000</xdr:rowOff>
    </xdr:from>
    <xdr:to>
      <xdr:col>4</xdr:col>
      <xdr:colOff>8640</xdr:colOff>
      <xdr:row>12</xdr:row>
      <xdr:rowOff>113400</xdr:rowOff>
    </xdr:to>
    <xdr:sp>
      <xdr:nvSpPr>
        <xdr:cNvPr id="31" name="図形 31"/>
        <xdr:cNvSpPr/>
      </xdr:nvSpPr>
      <xdr:spPr>
        <a:xfrm>
          <a:off x="2162160" y="2781360"/>
          <a:ext cx="666000" cy="189720"/>
        </a:xfrm>
        <a:prstGeom prst="right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6</xdr:col>
      <xdr:colOff>428760</xdr:colOff>
      <xdr:row>11</xdr:row>
      <xdr:rowOff>162000</xdr:rowOff>
    </xdr:from>
    <xdr:to>
      <xdr:col>7</xdr:col>
      <xdr:colOff>390240</xdr:colOff>
      <xdr:row>12</xdr:row>
      <xdr:rowOff>113400</xdr:rowOff>
    </xdr:to>
    <xdr:sp>
      <xdr:nvSpPr>
        <xdr:cNvPr id="32" name="図形 32"/>
        <xdr:cNvSpPr/>
      </xdr:nvSpPr>
      <xdr:spPr>
        <a:xfrm>
          <a:off x="4658040" y="2781360"/>
          <a:ext cx="666000" cy="189720"/>
        </a:xfrm>
        <a:prstGeom prst="right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10</xdr:col>
      <xdr:colOff>47520</xdr:colOff>
      <xdr:row>11</xdr:row>
      <xdr:rowOff>162000</xdr:rowOff>
    </xdr:from>
    <xdr:to>
      <xdr:col>11</xdr:col>
      <xdr:colOff>8640</xdr:colOff>
      <xdr:row>12</xdr:row>
      <xdr:rowOff>113400</xdr:rowOff>
    </xdr:to>
    <xdr:sp>
      <xdr:nvSpPr>
        <xdr:cNvPr id="33" name="図形 33"/>
        <xdr:cNvSpPr/>
      </xdr:nvSpPr>
      <xdr:spPr>
        <a:xfrm>
          <a:off x="7095960" y="2781360"/>
          <a:ext cx="666000" cy="189720"/>
        </a:xfrm>
        <a:prstGeom prst="right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4</xdr:col>
      <xdr:colOff>0</xdr:colOff>
      <xdr:row>15</xdr:row>
      <xdr:rowOff>104760</xdr:rowOff>
    </xdr:from>
    <xdr:to>
      <xdr:col>14</xdr:col>
      <xdr:colOff>380520</xdr:colOff>
      <xdr:row>16</xdr:row>
      <xdr:rowOff>209160</xdr:rowOff>
    </xdr:to>
    <xdr:sp>
      <xdr:nvSpPr>
        <xdr:cNvPr id="34" name="Knowledge Basesが登録処理を連携・管理"/>
        <xdr:cNvSpPr/>
      </xdr:nvSpPr>
      <xdr:spPr>
        <a:xfrm>
          <a:off x="2819520" y="3676680"/>
          <a:ext cx="7428960" cy="34236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200" b="0" u="none" strike="noStrike">
              <a:solidFill>
                <a:srgbClr val="6A578A"/>
              </a:solidFill>
              <a:effectLst/>
              <a:uFillTx/>
              <a:latin typeface="Yu Gothic"/>
              <a:ea typeface="Yu Gothic"/>
            </a:rPr>
            <a:t>Knowledge Bases</a:t>
          </a:r>
          <a:r>
            <a:rPr lang="ja-JP" sz="1200" b="0" u="none" strike="noStrike">
              <a:solidFill>
                <a:srgbClr val="6A578A"/>
              </a:solidFill>
              <a:effectLst/>
              <a:uFillTx/>
              <a:latin typeface="Yu Gothic"/>
              <a:ea typeface="Yu Gothic"/>
            </a:rPr>
            <a:t>が登録処理を連携・管理</a:t>
          </a:r>
          <a:endParaRPr lang="en-US" sz="1200" b="0" u="none" strike="noStrike">
            <a:effectLst/>
            <a:uFillTx/>
            <a:latin typeface="Noto Serif JP"/>
          </a:endParaRPr>
        </a:p>
      </xdr:txBody>
    </xdr:sp>
    <xdr:clientData/>
  </xdr:twoCellAnchor>
  <xdr:twoCellAnchor editAs="oneCell">
    <xdr:from>
      <xdr:col>0</xdr:col>
      <xdr:colOff>333360</xdr:colOff>
      <xdr:row>17</xdr:row>
      <xdr:rowOff>181080</xdr:rowOff>
    </xdr:from>
    <xdr:to>
      <xdr:col>4</xdr:col>
      <xdr:colOff>275400</xdr:colOff>
      <xdr:row>19</xdr:row>
      <xdr:rowOff>9000</xdr:rowOff>
    </xdr:to>
    <xdr:sp>
      <xdr:nvSpPr>
        <xdr:cNvPr id="35" name="② 質問から回答へ"/>
        <xdr:cNvSpPr/>
      </xdr:nvSpPr>
      <xdr:spPr>
        <a:xfrm>
          <a:off x="333360" y="4229280"/>
          <a:ext cx="2761560" cy="30420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600" b="1" u="none" strike="noStrike">
              <a:solidFill>
                <a:srgbClr val="243247"/>
              </a:solidFill>
              <a:effectLst/>
              <a:uFillTx/>
              <a:latin typeface="Yu Gothic"/>
              <a:ea typeface="Yu Gothic"/>
            </a:rPr>
            <a:t>② 質問から回答へ</a:t>
          </a:r>
          <a:endParaRPr lang="en-US" sz="1600" b="0" u="none" strike="noStrike">
            <a:effectLst/>
            <a:uFillTx/>
            <a:latin typeface="Noto Serif JP"/>
          </a:endParaRPr>
        </a:p>
      </xdr:txBody>
    </xdr:sp>
    <xdr:clientData/>
  </xdr:twoCellAnchor>
  <xdr:twoCellAnchor editAs="oneCell">
    <xdr:from>
      <xdr:col>0</xdr:col>
      <xdr:colOff>428760</xdr:colOff>
      <xdr:row>19</xdr:row>
      <xdr:rowOff>181080</xdr:rowOff>
    </xdr:from>
    <xdr:to>
      <xdr:col>3</xdr:col>
      <xdr:colOff>123120</xdr:colOff>
      <xdr:row>25</xdr:row>
      <xdr:rowOff>180720</xdr:rowOff>
    </xdr:to>
    <xdr:sp>
      <xdr:nvSpPr>
        <xdr:cNvPr id="36" name="担当者の質問 背景"/>
        <xdr:cNvSpPr/>
      </xdr:nvSpPr>
      <xdr:spPr>
        <a:xfrm>
          <a:off x="428760" y="4705560"/>
          <a:ext cx="1809000" cy="1428120"/>
        </a:xfrm>
        <a:prstGeom prst="roundRect">
          <a:avLst>
            <a:gd name="adj" fmla="val 16667"/>
          </a:avLst>
        </a:prstGeom>
        <a:solidFill>
          <a:srgbClr val="FFF2D7"/>
        </a:solidFill>
        <a:ln w="19050">
          <a:noFill/>
        </a:ln>
      </xdr:spPr>
      <xdr:style>
        <a:lnRef idx="0"/>
        <a:fillRef idx="0"/>
        <a:effectRef idx="0"/>
        <a:fontRef idx="minor"/>
      </xdr:style>
    </xdr:sp>
    <xdr:clientData/>
  </xdr:twoCellAnchor>
  <xdr:twoCellAnchor editAs="oneCell">
    <xdr:from>
      <xdr:col>1</xdr:col>
      <xdr:colOff>447840</xdr:colOff>
      <xdr:row>20</xdr:row>
      <xdr:rowOff>57240</xdr:rowOff>
    </xdr:from>
    <xdr:to>
      <xdr:col>1</xdr:col>
      <xdr:colOff>694800</xdr:colOff>
      <xdr:row>21</xdr:row>
      <xdr:rowOff>65880</xdr:rowOff>
    </xdr:to>
    <xdr:sp>
      <xdr:nvSpPr>
        <xdr:cNvPr id="37" name="図形 37"/>
        <xdr:cNvSpPr/>
      </xdr:nvSpPr>
      <xdr:spPr>
        <a:xfrm>
          <a:off x="1152720" y="4819680"/>
          <a:ext cx="246960" cy="246960"/>
        </a:xfrm>
        <a:prstGeom prst="ellipse">
          <a:avLst/>
        </a:prstGeom>
        <a:noFill/>
        <a:ln w="19050">
          <a:solidFill>
            <a:srgbClr val="183153"/>
          </a:solidFill>
          <a:round/>
        </a:ln>
      </xdr:spPr>
      <xdr:style>
        <a:lnRef idx="0"/>
        <a:fillRef idx="0"/>
        <a:effectRef idx="0"/>
        <a:fontRef idx="minor"/>
      </xdr:style>
    </xdr:sp>
    <xdr:clientData/>
  </xdr:twoCellAnchor>
  <xdr:twoCellAnchor editAs="oneCell">
    <xdr:from>
      <xdr:col>1</xdr:col>
      <xdr:colOff>333360</xdr:colOff>
      <xdr:row>21</xdr:row>
      <xdr:rowOff>114480</xdr:rowOff>
    </xdr:from>
    <xdr:to>
      <xdr:col>2</xdr:col>
      <xdr:colOff>104040</xdr:colOff>
      <xdr:row>22</xdr:row>
      <xdr:rowOff>123480</xdr:rowOff>
    </xdr:to>
    <xdr:sp>
      <xdr:nvSpPr>
        <xdr:cNvPr id="38" name="図形 38"/>
        <xdr:cNvSpPr/>
      </xdr:nvSpPr>
      <xdr:spPr>
        <a:xfrm>
          <a:off x="1038240" y="5115240"/>
          <a:ext cx="475560" cy="246960"/>
        </a:xfrm>
        <a:prstGeom prst="roundRect">
          <a:avLst>
            <a:gd name="adj" fmla="val 16667"/>
          </a:avLst>
        </a:prstGeom>
        <a:noFill/>
        <a:ln w="19050">
          <a:solidFill>
            <a:srgbClr val="183153"/>
          </a:solidFill>
          <a:round/>
        </a:ln>
      </xdr:spPr>
      <xdr:style>
        <a:lnRef idx="0"/>
        <a:fillRef idx="0"/>
        <a:effectRef idx="0"/>
        <a:fontRef idx="minor"/>
      </xdr:style>
    </xdr:sp>
    <xdr:clientData/>
  </xdr:twoCellAnchor>
  <xdr:twoCellAnchor editAs="oneCell">
    <xdr:from>
      <xdr:col>0</xdr:col>
      <xdr:colOff>466560</xdr:colOff>
      <xdr:row>22</xdr:row>
      <xdr:rowOff>152280</xdr:rowOff>
    </xdr:from>
    <xdr:to>
      <xdr:col>3</xdr:col>
      <xdr:colOff>84600</xdr:colOff>
      <xdr:row>23</xdr:row>
      <xdr:rowOff>208440</xdr:rowOff>
    </xdr:to>
    <xdr:sp>
      <xdr:nvSpPr>
        <xdr:cNvPr id="39" name="担当者の質問"/>
        <xdr:cNvSpPr/>
      </xdr:nvSpPr>
      <xdr:spPr>
        <a:xfrm>
          <a:off x="466560" y="539100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400" b="1" u="none" strike="noStrike">
              <a:solidFill>
                <a:srgbClr val="243247"/>
              </a:solidFill>
              <a:effectLst/>
              <a:uFillTx/>
              <a:latin typeface="Yu Gothic"/>
              <a:ea typeface="Yu Gothic"/>
            </a:rPr>
            <a:t>担当者の質問</a:t>
          </a:r>
          <a:endParaRPr lang="en-US" sz="1400" b="0" u="none" strike="noStrike">
            <a:effectLst/>
            <a:uFillTx/>
            <a:latin typeface="Noto Serif JP"/>
          </a:endParaRPr>
        </a:p>
      </xdr:txBody>
    </xdr:sp>
    <xdr:clientData/>
  </xdr:twoCellAnchor>
  <xdr:twoCellAnchor editAs="oneCell">
    <xdr:from>
      <xdr:col>0</xdr:col>
      <xdr:colOff>476280</xdr:colOff>
      <xdr:row>24</xdr:row>
      <xdr:rowOff>0</xdr:rowOff>
    </xdr:from>
    <xdr:to>
      <xdr:col>3</xdr:col>
      <xdr:colOff>75600</xdr:colOff>
      <xdr:row>25</xdr:row>
      <xdr:rowOff>85320</xdr:rowOff>
    </xdr:to>
    <xdr:sp>
      <xdr:nvSpPr>
        <xdr:cNvPr id="40" name="コンソール／API"/>
        <xdr:cNvSpPr/>
      </xdr:nvSpPr>
      <xdr:spPr>
        <a:xfrm>
          <a:off x="476280" y="57150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コンソール／</a:t>
          </a:r>
          <a:r>
            <a:rPr lang="en-US" sz="1100" b="0" u="none" strike="noStrike">
              <a:solidFill>
                <a:srgbClr val="243247"/>
              </a:solidFill>
              <a:effectLst/>
              <a:uFillTx/>
              <a:latin typeface="Yu Gothic"/>
              <a:ea typeface="Yu Gothic"/>
            </a:rPr>
            <a:t>API</a:t>
          </a:r>
          <a:endParaRPr lang="en-US" sz="1100" b="0" u="none" strike="noStrike">
            <a:effectLst/>
            <a:uFillTx/>
            <a:latin typeface="Noto Serif JP"/>
          </a:endParaRPr>
        </a:p>
      </xdr:txBody>
    </xdr:sp>
    <xdr:clientData/>
  </xdr:twoCellAnchor>
  <xdr:twoCellAnchor editAs="oneCell">
    <xdr:from>
      <xdr:col>4</xdr:col>
      <xdr:colOff>47520</xdr:colOff>
      <xdr:row>19</xdr:row>
      <xdr:rowOff>181080</xdr:rowOff>
    </xdr:from>
    <xdr:to>
      <xdr:col>6</xdr:col>
      <xdr:colOff>446760</xdr:colOff>
      <xdr:row>25</xdr:row>
      <xdr:rowOff>180720</xdr:rowOff>
    </xdr:to>
    <xdr:sp>
      <xdr:nvSpPr>
        <xdr:cNvPr id="41" name="質問を数値化 背景"/>
        <xdr:cNvSpPr/>
      </xdr:nvSpPr>
      <xdr:spPr>
        <a:xfrm>
          <a:off x="2867040" y="4705560"/>
          <a:ext cx="1809000" cy="1428120"/>
        </a:xfrm>
        <a:prstGeom prst="roundRect">
          <a:avLst>
            <a:gd name="adj" fmla="val 16667"/>
          </a:avLst>
        </a:prstGeom>
        <a:solidFill>
          <a:srgbClr val="EFEAF8"/>
        </a:solidFill>
        <a:ln w="19050">
          <a:noFill/>
        </a:ln>
      </xdr:spPr>
      <xdr:style>
        <a:lnRef idx="0"/>
        <a:fillRef idx="0"/>
        <a:effectRef idx="0"/>
        <a:fontRef idx="minor"/>
      </xdr:style>
    </xdr:sp>
    <xdr:clientData/>
  </xdr:twoCellAnchor>
  <xdr:twoCellAnchor editAs="oneCell">
    <xdr:from>
      <xdr:col>4</xdr:col>
      <xdr:colOff>703440</xdr:colOff>
      <xdr:row>20</xdr:row>
      <xdr:rowOff>95400</xdr:rowOff>
    </xdr:from>
    <xdr:to>
      <xdr:col>5</xdr:col>
      <xdr:colOff>474120</xdr:colOff>
      <xdr:row>22</xdr:row>
      <xdr:rowOff>56520</xdr:rowOff>
    </xdr:to>
    <xdr:sp>
      <xdr:nvSpPr>
        <xdr:cNvPr id="42" name="図形 42"/>
        <xdr:cNvSpPr/>
      </xdr:nvSpPr>
      <xdr:spPr>
        <a:xfrm>
          <a:off x="3522960" y="4857840"/>
          <a:ext cx="475560" cy="437400"/>
        </a:xfrm>
        <a:prstGeom prst="roundRect">
          <a:avLst>
            <a:gd name="adj" fmla="val 16667"/>
          </a:avLst>
        </a:prstGeom>
        <a:noFill/>
        <a:ln w="19050">
          <a:solidFill>
            <a:srgbClr val="183153"/>
          </a:solidFill>
          <a:round/>
        </a:ln>
      </xdr:spPr>
      <xdr:style>
        <a:lnRef idx="0"/>
        <a:fillRef idx="0"/>
        <a:effectRef idx="0"/>
        <a:fontRef idx="minor"/>
      </xdr:style>
    </xdr:sp>
    <xdr:clientData/>
  </xdr:twoCellAnchor>
  <xdr:twoCellAnchor editAs="oneCell">
    <xdr:from>
      <xdr:col>4</xdr:col>
      <xdr:colOff>703440</xdr:colOff>
      <xdr:row>20</xdr:row>
      <xdr:rowOff>123840</xdr:rowOff>
    </xdr:from>
    <xdr:to>
      <xdr:col>5</xdr:col>
      <xdr:colOff>416880</xdr:colOff>
      <xdr:row>22</xdr:row>
      <xdr:rowOff>27720</xdr:rowOff>
    </xdr:to>
    <xdr:sp>
      <xdr:nvSpPr>
        <xdr:cNvPr id="43" name="AI"/>
        <xdr:cNvSpPr/>
      </xdr:nvSpPr>
      <xdr:spPr>
        <a:xfrm>
          <a:off x="3522960" y="4886280"/>
          <a:ext cx="418320" cy="38016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600" b="1" u="none" strike="noStrike">
              <a:solidFill>
                <a:srgbClr val="183153"/>
              </a:solidFill>
              <a:effectLst/>
              <a:uFillTx/>
              <a:latin typeface="Yu Gothic"/>
              <a:ea typeface="Yu Gothic"/>
            </a:rPr>
            <a:t>AI</a:t>
          </a:r>
          <a:endParaRPr lang="en-US" sz="1600" b="0" u="none" strike="noStrike">
            <a:effectLst/>
            <a:uFillTx/>
            <a:latin typeface="Noto Serif JP"/>
          </a:endParaRPr>
        </a:p>
      </xdr:txBody>
    </xdr:sp>
    <xdr:clientData/>
  </xdr:twoCellAnchor>
  <xdr:twoCellAnchor editAs="oneCell">
    <xdr:from>
      <xdr:col>4</xdr:col>
      <xdr:colOff>609480</xdr:colOff>
      <xdr:row>21</xdr:row>
      <xdr:rowOff>57240</xdr:rowOff>
    </xdr:from>
    <xdr:to>
      <xdr:col>5</xdr:col>
      <xdr:colOff>8640</xdr:colOff>
      <xdr:row>21</xdr:row>
      <xdr:rowOff>84960</xdr:rowOff>
    </xdr:to>
    <xdr:sp>
      <xdr:nvSpPr>
        <xdr:cNvPr id="44" name="図形 44"/>
        <xdr:cNvSpPr/>
      </xdr:nvSpPr>
      <xdr:spPr>
        <a:xfrm>
          <a:off x="3429000" y="5058000"/>
          <a:ext cx="104040" cy="27720"/>
        </a:xfrm>
        <a:prstGeom prst="rect">
          <a:avLst/>
        </a:prstGeom>
        <a:solidFill>
          <a:srgbClr val="183153"/>
        </a:solidFill>
        <a:ln w="19050">
          <a:noFill/>
        </a:ln>
      </xdr:spPr>
      <xdr:style>
        <a:lnRef idx="0"/>
        <a:fillRef idx="0"/>
        <a:effectRef idx="0"/>
        <a:fontRef idx="minor"/>
      </xdr:style>
    </xdr:sp>
    <xdr:clientData/>
  </xdr:twoCellAnchor>
  <xdr:twoCellAnchor editAs="oneCell">
    <xdr:from>
      <xdr:col>5</xdr:col>
      <xdr:colOff>428760</xdr:colOff>
      <xdr:row>21</xdr:row>
      <xdr:rowOff>57240</xdr:rowOff>
    </xdr:from>
    <xdr:to>
      <xdr:col>5</xdr:col>
      <xdr:colOff>532800</xdr:colOff>
      <xdr:row>21</xdr:row>
      <xdr:rowOff>84960</xdr:rowOff>
    </xdr:to>
    <xdr:sp>
      <xdr:nvSpPr>
        <xdr:cNvPr id="45" name="図形 45"/>
        <xdr:cNvSpPr/>
      </xdr:nvSpPr>
      <xdr:spPr>
        <a:xfrm>
          <a:off x="3953160" y="5058000"/>
          <a:ext cx="104040" cy="27720"/>
        </a:xfrm>
        <a:prstGeom prst="rect">
          <a:avLst/>
        </a:prstGeom>
        <a:solidFill>
          <a:srgbClr val="183153"/>
        </a:solidFill>
        <a:ln w="19050">
          <a:noFill/>
        </a:ln>
      </xdr:spPr>
      <xdr:style>
        <a:lnRef idx="0"/>
        <a:fillRef idx="0"/>
        <a:effectRef idx="0"/>
        <a:fontRef idx="minor"/>
      </xdr:style>
    </xdr:sp>
    <xdr:clientData/>
  </xdr:twoCellAnchor>
  <xdr:twoCellAnchor editAs="oneCell">
    <xdr:from>
      <xdr:col>5</xdr:col>
      <xdr:colOff>181080</xdr:colOff>
      <xdr:row>19</xdr:row>
      <xdr:rowOff>219240</xdr:rowOff>
    </xdr:from>
    <xdr:to>
      <xdr:col>5</xdr:col>
      <xdr:colOff>208800</xdr:colOff>
      <xdr:row>20</xdr:row>
      <xdr:rowOff>95040</xdr:rowOff>
    </xdr:to>
    <xdr:sp>
      <xdr:nvSpPr>
        <xdr:cNvPr id="46" name="図形 46"/>
        <xdr:cNvSpPr/>
      </xdr:nvSpPr>
      <xdr:spPr>
        <a:xfrm>
          <a:off x="3705480" y="4743720"/>
          <a:ext cx="27720" cy="113760"/>
        </a:xfrm>
        <a:prstGeom prst="rect">
          <a:avLst/>
        </a:prstGeom>
        <a:solidFill>
          <a:srgbClr val="183153"/>
        </a:solidFill>
        <a:ln w="19050">
          <a:noFill/>
        </a:ln>
      </xdr:spPr>
      <xdr:style>
        <a:lnRef idx="0"/>
        <a:fillRef idx="0"/>
        <a:effectRef idx="0"/>
        <a:fontRef idx="minor"/>
      </xdr:style>
    </xdr:sp>
    <xdr:clientData/>
  </xdr:twoCellAnchor>
  <xdr:twoCellAnchor editAs="oneCell">
    <xdr:from>
      <xdr:col>5</xdr:col>
      <xdr:colOff>181080</xdr:colOff>
      <xdr:row>22</xdr:row>
      <xdr:rowOff>57240</xdr:rowOff>
    </xdr:from>
    <xdr:to>
      <xdr:col>5</xdr:col>
      <xdr:colOff>208800</xdr:colOff>
      <xdr:row>22</xdr:row>
      <xdr:rowOff>171000</xdr:rowOff>
    </xdr:to>
    <xdr:sp>
      <xdr:nvSpPr>
        <xdr:cNvPr id="47" name="図形 47"/>
        <xdr:cNvSpPr/>
      </xdr:nvSpPr>
      <xdr:spPr>
        <a:xfrm>
          <a:off x="3705480" y="5295960"/>
          <a:ext cx="27720" cy="113760"/>
        </a:xfrm>
        <a:prstGeom prst="rect">
          <a:avLst/>
        </a:prstGeom>
        <a:solidFill>
          <a:srgbClr val="183153"/>
        </a:solidFill>
        <a:ln w="19050">
          <a:noFill/>
        </a:ln>
      </xdr:spPr>
      <xdr:style>
        <a:lnRef idx="0"/>
        <a:fillRef idx="0"/>
        <a:effectRef idx="0"/>
        <a:fontRef idx="minor"/>
      </xdr:style>
    </xdr:sp>
    <xdr:clientData/>
  </xdr:twoCellAnchor>
  <xdr:twoCellAnchor editAs="oneCell">
    <xdr:from>
      <xdr:col>4</xdr:col>
      <xdr:colOff>85680</xdr:colOff>
      <xdr:row>22</xdr:row>
      <xdr:rowOff>152280</xdr:rowOff>
    </xdr:from>
    <xdr:to>
      <xdr:col>6</xdr:col>
      <xdr:colOff>408600</xdr:colOff>
      <xdr:row>23</xdr:row>
      <xdr:rowOff>208440</xdr:rowOff>
    </xdr:to>
    <xdr:sp>
      <xdr:nvSpPr>
        <xdr:cNvPr id="48" name="質問を数値化"/>
        <xdr:cNvSpPr/>
      </xdr:nvSpPr>
      <xdr:spPr>
        <a:xfrm>
          <a:off x="2905200" y="539100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400" b="1" u="none" strike="noStrike">
              <a:solidFill>
                <a:srgbClr val="243247"/>
              </a:solidFill>
              <a:effectLst/>
              <a:uFillTx/>
              <a:latin typeface="Yu Gothic"/>
              <a:ea typeface="Yu Gothic"/>
            </a:rPr>
            <a:t>質問を数値化</a:t>
          </a:r>
          <a:endParaRPr lang="en-US" sz="1400" b="0" u="none" strike="noStrike">
            <a:effectLst/>
            <a:uFillTx/>
            <a:latin typeface="Noto Serif JP"/>
          </a:endParaRPr>
        </a:p>
      </xdr:txBody>
    </xdr:sp>
    <xdr:clientData/>
  </xdr:twoCellAnchor>
  <xdr:twoCellAnchor editAs="oneCell">
    <xdr:from>
      <xdr:col>4</xdr:col>
      <xdr:colOff>95400</xdr:colOff>
      <xdr:row>24</xdr:row>
      <xdr:rowOff>0</xdr:rowOff>
    </xdr:from>
    <xdr:to>
      <xdr:col>6</xdr:col>
      <xdr:colOff>399600</xdr:colOff>
      <xdr:row>25</xdr:row>
      <xdr:rowOff>85320</xdr:rowOff>
    </xdr:to>
    <xdr:sp>
      <xdr:nvSpPr>
        <xdr:cNvPr id="49" name="同じEmbeddingモデル"/>
        <xdr:cNvSpPr/>
      </xdr:nvSpPr>
      <xdr:spPr>
        <a:xfrm>
          <a:off x="2914920" y="57150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同じ</a:t>
          </a:r>
          <a:r>
            <a:rPr lang="en-US" sz="1100" b="0" u="none" strike="noStrike">
              <a:solidFill>
                <a:srgbClr val="243247"/>
              </a:solidFill>
              <a:effectLst/>
              <a:uFillTx/>
              <a:latin typeface="Yu Gothic"/>
              <a:ea typeface="Yu Gothic"/>
            </a:rPr>
            <a:t>Embedding</a:t>
          </a:r>
          <a:r>
            <a:rPr lang="ja-JP" sz="1100" b="0" u="none" strike="noStrike">
              <a:solidFill>
                <a:srgbClr val="243247"/>
              </a:solidFill>
              <a:effectLst/>
              <a:uFillTx/>
              <a:latin typeface="Yu Gothic"/>
              <a:ea typeface="Yu Gothic"/>
            </a:rPr>
            <a:t>モデル</a:t>
          </a:r>
          <a:endParaRPr lang="en-US" sz="1100" b="0" u="none" strike="noStrike">
            <a:effectLst/>
            <a:uFillTx/>
            <a:latin typeface="Noto Serif JP"/>
          </a:endParaRPr>
        </a:p>
      </xdr:txBody>
    </xdr:sp>
    <xdr:clientData/>
  </xdr:twoCellAnchor>
  <xdr:twoCellAnchor editAs="oneCell">
    <xdr:from>
      <xdr:col>7</xdr:col>
      <xdr:colOff>428760</xdr:colOff>
      <xdr:row>19</xdr:row>
      <xdr:rowOff>181080</xdr:rowOff>
    </xdr:from>
    <xdr:to>
      <xdr:col>10</xdr:col>
      <xdr:colOff>123120</xdr:colOff>
      <xdr:row>25</xdr:row>
      <xdr:rowOff>180720</xdr:rowOff>
    </xdr:to>
    <xdr:sp>
      <xdr:nvSpPr>
        <xdr:cNvPr id="50" name="文書を検索 背景"/>
        <xdr:cNvSpPr/>
      </xdr:nvSpPr>
      <xdr:spPr>
        <a:xfrm>
          <a:off x="5362560" y="4705560"/>
          <a:ext cx="1809000" cy="1428120"/>
        </a:xfrm>
        <a:prstGeom prst="roundRect">
          <a:avLst>
            <a:gd name="adj" fmla="val 16667"/>
          </a:avLst>
        </a:prstGeom>
        <a:solidFill>
          <a:srgbClr val="EAF2F8"/>
        </a:solidFill>
        <a:ln w="19050">
          <a:noFill/>
        </a:ln>
      </xdr:spPr>
      <xdr:style>
        <a:lnRef idx="0"/>
        <a:fillRef idx="0"/>
        <a:effectRef idx="0"/>
        <a:fontRef idx="minor"/>
      </xdr:style>
    </xdr:sp>
    <xdr:clientData/>
  </xdr:twoCellAnchor>
  <xdr:twoCellAnchor editAs="oneCell">
    <xdr:from>
      <xdr:col>8</xdr:col>
      <xdr:colOff>333360</xdr:colOff>
      <xdr:row>20</xdr:row>
      <xdr:rowOff>47520</xdr:rowOff>
    </xdr:from>
    <xdr:to>
      <xdr:col>9</xdr:col>
      <xdr:colOff>37440</xdr:colOff>
      <xdr:row>21</xdr:row>
      <xdr:rowOff>218160</xdr:rowOff>
    </xdr:to>
    <xdr:sp>
      <xdr:nvSpPr>
        <xdr:cNvPr id="51" name="図形 51"/>
        <xdr:cNvSpPr/>
      </xdr:nvSpPr>
      <xdr:spPr>
        <a:xfrm>
          <a:off x="5972040" y="4809960"/>
          <a:ext cx="408960" cy="408960"/>
        </a:xfrm>
        <a:prstGeom prst="ellipse">
          <a:avLst/>
        </a:prstGeom>
        <a:noFill/>
        <a:ln w="19050">
          <a:solidFill>
            <a:srgbClr val="183153"/>
          </a:solidFill>
          <a:round/>
        </a:ln>
      </xdr:spPr>
      <xdr:style>
        <a:lnRef idx="0"/>
        <a:fillRef idx="0"/>
        <a:effectRef idx="0"/>
        <a:fontRef idx="minor"/>
      </xdr:style>
    </xdr:sp>
    <xdr:clientData/>
  </xdr:twoCellAnchor>
  <xdr:twoCellAnchor editAs="oneCell">
    <xdr:from>
      <xdr:col>8</xdr:col>
      <xdr:colOff>676440</xdr:colOff>
      <xdr:row>21</xdr:row>
      <xdr:rowOff>152280</xdr:rowOff>
    </xdr:from>
    <xdr:to>
      <xdr:col>9</xdr:col>
      <xdr:colOff>199440</xdr:colOff>
      <xdr:row>21</xdr:row>
      <xdr:rowOff>227880</xdr:rowOff>
    </xdr:to>
    <xdr:sp>
      <xdr:nvSpPr>
        <xdr:cNvPr id="52" name="図形 52"/>
        <xdr:cNvSpPr/>
      </xdr:nvSpPr>
      <xdr:spPr>
        <a:xfrm>
          <a:off x="6315120" y="5153040"/>
          <a:ext cx="227880" cy="75600"/>
        </a:xfrm>
        <a:prstGeom prst="parallelogram">
          <a:avLst>
            <a:gd name="adj" fmla="val 25000"/>
          </a:avLst>
        </a:prstGeom>
        <a:solidFill>
          <a:srgbClr val="183153"/>
        </a:solidFill>
        <a:ln w="19050">
          <a:noFill/>
        </a:ln>
      </xdr:spPr>
      <xdr:style>
        <a:lnRef idx="0"/>
        <a:fillRef idx="0"/>
        <a:effectRef idx="0"/>
        <a:fontRef idx="minor"/>
      </xdr:style>
    </xdr:sp>
    <xdr:clientData/>
  </xdr:twoCellAnchor>
  <xdr:twoCellAnchor editAs="oneCell">
    <xdr:from>
      <xdr:col>7</xdr:col>
      <xdr:colOff>466560</xdr:colOff>
      <xdr:row>22</xdr:row>
      <xdr:rowOff>152280</xdr:rowOff>
    </xdr:from>
    <xdr:to>
      <xdr:col>10</xdr:col>
      <xdr:colOff>84600</xdr:colOff>
      <xdr:row>23</xdr:row>
      <xdr:rowOff>208440</xdr:rowOff>
    </xdr:to>
    <xdr:sp>
      <xdr:nvSpPr>
        <xdr:cNvPr id="53" name="文書を検索"/>
        <xdr:cNvSpPr/>
      </xdr:nvSpPr>
      <xdr:spPr>
        <a:xfrm>
          <a:off x="5400360" y="539100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400" b="1" u="none" strike="noStrike">
              <a:solidFill>
                <a:srgbClr val="243247"/>
              </a:solidFill>
              <a:effectLst/>
              <a:uFillTx/>
              <a:latin typeface="Yu Gothic"/>
              <a:ea typeface="Yu Gothic"/>
            </a:rPr>
            <a:t>文書を検索</a:t>
          </a:r>
          <a:endParaRPr lang="en-US" sz="1400" b="0" u="none" strike="noStrike">
            <a:effectLst/>
            <a:uFillTx/>
            <a:latin typeface="Noto Serif JP"/>
          </a:endParaRPr>
        </a:p>
      </xdr:txBody>
    </xdr:sp>
    <xdr:clientData/>
  </xdr:twoCellAnchor>
  <xdr:twoCellAnchor editAs="oneCell">
    <xdr:from>
      <xdr:col>7</xdr:col>
      <xdr:colOff>476280</xdr:colOff>
      <xdr:row>24</xdr:row>
      <xdr:rowOff>0</xdr:rowOff>
    </xdr:from>
    <xdr:to>
      <xdr:col>10</xdr:col>
      <xdr:colOff>75600</xdr:colOff>
      <xdr:row>25</xdr:row>
      <xdr:rowOff>85320</xdr:rowOff>
    </xdr:to>
    <xdr:sp>
      <xdr:nvSpPr>
        <xdr:cNvPr id="54" name="S3 Vectorsから取得"/>
        <xdr:cNvSpPr/>
      </xdr:nvSpPr>
      <xdr:spPr>
        <a:xfrm>
          <a:off x="5410080" y="57150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100" b="0" u="none" strike="noStrike">
              <a:solidFill>
                <a:srgbClr val="243247"/>
              </a:solidFill>
              <a:effectLst/>
              <a:uFillTx/>
              <a:latin typeface="Yu Gothic"/>
              <a:ea typeface="Yu Gothic"/>
            </a:rPr>
            <a:t>S3 Vectors</a:t>
          </a:r>
          <a:r>
            <a:rPr lang="ja-JP" sz="1100" b="0" u="none" strike="noStrike">
              <a:solidFill>
                <a:srgbClr val="243247"/>
              </a:solidFill>
              <a:effectLst/>
              <a:uFillTx/>
              <a:latin typeface="Yu Gothic"/>
              <a:ea typeface="Yu Gothic"/>
            </a:rPr>
            <a:t>から取得</a:t>
          </a:r>
          <a:endParaRPr lang="en-US" sz="1100" b="0" u="none" strike="noStrike">
            <a:effectLst/>
            <a:uFillTx/>
            <a:latin typeface="Noto Serif JP"/>
          </a:endParaRPr>
        </a:p>
      </xdr:txBody>
    </xdr:sp>
    <xdr:clientData/>
  </xdr:twoCellAnchor>
  <xdr:twoCellAnchor editAs="oneCell">
    <xdr:from>
      <xdr:col>11</xdr:col>
      <xdr:colOff>47520</xdr:colOff>
      <xdr:row>19</xdr:row>
      <xdr:rowOff>181080</xdr:rowOff>
    </xdr:from>
    <xdr:to>
      <xdr:col>13</xdr:col>
      <xdr:colOff>446760</xdr:colOff>
      <xdr:row>25</xdr:row>
      <xdr:rowOff>180720</xdr:rowOff>
    </xdr:to>
    <xdr:sp>
      <xdr:nvSpPr>
        <xdr:cNvPr id="55" name="関連する抜粋 背景"/>
        <xdr:cNvSpPr/>
      </xdr:nvSpPr>
      <xdr:spPr>
        <a:xfrm>
          <a:off x="7800840" y="4705560"/>
          <a:ext cx="1809000" cy="1428120"/>
        </a:xfrm>
        <a:prstGeom prst="roundRect">
          <a:avLst>
            <a:gd name="adj" fmla="val 16667"/>
          </a:avLst>
        </a:prstGeom>
        <a:solidFill>
          <a:srgbClr val="EAF2F8"/>
        </a:solidFill>
        <a:ln w="19050">
          <a:noFill/>
        </a:ln>
      </xdr:spPr>
      <xdr:style>
        <a:lnRef idx="0"/>
        <a:fillRef idx="0"/>
        <a:effectRef idx="0"/>
        <a:fontRef idx="minor"/>
      </xdr:style>
    </xdr:sp>
    <xdr:clientData/>
  </xdr:twoCellAnchor>
  <xdr:twoCellAnchor editAs="oneCell">
    <xdr:from>
      <xdr:col>12</xdr:col>
      <xdr:colOff>0</xdr:colOff>
      <xdr:row>20</xdr:row>
      <xdr:rowOff>47520</xdr:rowOff>
    </xdr:from>
    <xdr:to>
      <xdr:col>12</xdr:col>
      <xdr:colOff>380160</xdr:colOff>
      <xdr:row>22</xdr:row>
      <xdr:rowOff>94320</xdr:rowOff>
    </xdr:to>
    <xdr:sp>
      <xdr:nvSpPr>
        <xdr:cNvPr id="56" name="図形 56"/>
        <xdr:cNvSpPr/>
      </xdr:nvSpPr>
      <xdr:spPr>
        <a:xfrm>
          <a:off x="8458200" y="4809960"/>
          <a:ext cx="380160" cy="523080"/>
        </a:xfrm>
        <a:prstGeom prst="rect">
          <a:avLst/>
        </a:prstGeom>
        <a:noFill/>
        <a:ln w="19050">
          <a:solidFill>
            <a:srgbClr val="183153"/>
          </a:solidFill>
          <a:round/>
        </a:ln>
      </xdr:spPr>
      <xdr:style>
        <a:lnRef idx="0"/>
        <a:fillRef idx="0"/>
        <a:effectRef idx="0"/>
        <a:fontRef idx="minor"/>
      </xdr:style>
    </xdr:sp>
    <xdr:clientData/>
  </xdr:twoCellAnchor>
  <xdr:twoCellAnchor editAs="oneCell">
    <xdr:from>
      <xdr:col>12</xdr:col>
      <xdr:colOff>76320</xdr:colOff>
      <xdr:row>20</xdr:row>
      <xdr:rowOff>228600</xdr:rowOff>
    </xdr:from>
    <xdr:to>
      <xdr:col>12</xdr:col>
      <xdr:colOff>304200</xdr:colOff>
      <xdr:row>21</xdr:row>
      <xdr:rowOff>8640</xdr:rowOff>
    </xdr:to>
    <xdr:sp>
      <xdr:nvSpPr>
        <xdr:cNvPr id="57" name="図形 57"/>
        <xdr:cNvSpPr/>
      </xdr:nvSpPr>
      <xdr:spPr>
        <a:xfrm>
          <a:off x="8534520" y="499104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12</xdr:col>
      <xdr:colOff>76320</xdr:colOff>
      <xdr:row>21</xdr:row>
      <xdr:rowOff>104760</xdr:rowOff>
    </xdr:from>
    <xdr:to>
      <xdr:col>12</xdr:col>
      <xdr:colOff>304200</xdr:colOff>
      <xdr:row>21</xdr:row>
      <xdr:rowOff>123120</xdr:rowOff>
    </xdr:to>
    <xdr:sp>
      <xdr:nvSpPr>
        <xdr:cNvPr id="58" name="図形 58"/>
        <xdr:cNvSpPr/>
      </xdr:nvSpPr>
      <xdr:spPr>
        <a:xfrm>
          <a:off x="8534520" y="510552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12</xdr:col>
      <xdr:colOff>76320</xdr:colOff>
      <xdr:row>21</xdr:row>
      <xdr:rowOff>219240</xdr:rowOff>
    </xdr:from>
    <xdr:to>
      <xdr:col>12</xdr:col>
      <xdr:colOff>304200</xdr:colOff>
      <xdr:row>21</xdr:row>
      <xdr:rowOff>237600</xdr:rowOff>
    </xdr:to>
    <xdr:sp>
      <xdr:nvSpPr>
        <xdr:cNvPr id="59" name="図形 59"/>
        <xdr:cNvSpPr/>
      </xdr:nvSpPr>
      <xdr:spPr>
        <a:xfrm>
          <a:off x="8534520" y="5220000"/>
          <a:ext cx="227880" cy="18360"/>
        </a:xfrm>
        <a:prstGeom prst="rect">
          <a:avLst/>
        </a:prstGeom>
        <a:solidFill>
          <a:srgbClr val="183153"/>
        </a:solidFill>
        <a:ln w="19050">
          <a:noFill/>
        </a:ln>
      </xdr:spPr>
      <xdr:style>
        <a:lnRef idx="0"/>
        <a:fillRef idx="0"/>
        <a:effectRef idx="0"/>
        <a:fontRef idx="minor"/>
      </xdr:style>
    </xdr:sp>
    <xdr:clientData/>
  </xdr:twoCellAnchor>
  <xdr:twoCellAnchor editAs="oneCell">
    <xdr:from>
      <xdr:col>11</xdr:col>
      <xdr:colOff>85680</xdr:colOff>
      <xdr:row>22</xdr:row>
      <xdr:rowOff>152280</xdr:rowOff>
    </xdr:from>
    <xdr:to>
      <xdr:col>13</xdr:col>
      <xdr:colOff>408600</xdr:colOff>
      <xdr:row>23</xdr:row>
      <xdr:rowOff>208440</xdr:rowOff>
    </xdr:to>
    <xdr:sp>
      <xdr:nvSpPr>
        <xdr:cNvPr id="60" name="関連する抜粋"/>
        <xdr:cNvSpPr/>
      </xdr:nvSpPr>
      <xdr:spPr>
        <a:xfrm>
          <a:off x="7839000" y="539100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400" b="1" u="none" strike="noStrike">
              <a:solidFill>
                <a:srgbClr val="243247"/>
              </a:solidFill>
              <a:effectLst/>
              <a:uFillTx/>
              <a:latin typeface="Yu Gothic"/>
              <a:ea typeface="Yu Gothic"/>
            </a:rPr>
            <a:t>関連する抜粋</a:t>
          </a:r>
          <a:endParaRPr lang="en-US" sz="1400" b="0" u="none" strike="noStrike">
            <a:effectLst/>
            <a:uFillTx/>
            <a:latin typeface="Noto Serif JP"/>
          </a:endParaRPr>
        </a:p>
      </xdr:txBody>
    </xdr:sp>
    <xdr:clientData/>
  </xdr:twoCellAnchor>
  <xdr:twoCellAnchor editAs="oneCell">
    <xdr:from>
      <xdr:col>11</xdr:col>
      <xdr:colOff>95400</xdr:colOff>
      <xdr:row>24</xdr:row>
      <xdr:rowOff>0</xdr:rowOff>
    </xdr:from>
    <xdr:to>
      <xdr:col>13</xdr:col>
      <xdr:colOff>399600</xdr:colOff>
      <xdr:row>25</xdr:row>
      <xdr:rowOff>85320</xdr:rowOff>
    </xdr:to>
    <xdr:sp>
      <xdr:nvSpPr>
        <xdr:cNvPr id="61" name="質問とともにAIへ"/>
        <xdr:cNvSpPr/>
      </xdr:nvSpPr>
      <xdr:spPr>
        <a:xfrm>
          <a:off x="7848720" y="571500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質問とともに</a:t>
          </a:r>
          <a:r>
            <a:rPr lang="en-US" sz="1100" b="0" u="none" strike="noStrike">
              <a:solidFill>
                <a:srgbClr val="243247"/>
              </a:solidFill>
              <a:effectLst/>
              <a:uFillTx/>
              <a:latin typeface="Yu Gothic"/>
              <a:ea typeface="Yu Gothic"/>
            </a:rPr>
            <a:t>AI</a:t>
          </a:r>
          <a:r>
            <a:rPr lang="ja-JP" sz="1100" b="0" u="none" strike="noStrike">
              <a:solidFill>
                <a:srgbClr val="243247"/>
              </a:solidFill>
              <a:effectLst/>
              <a:uFillTx/>
              <a:latin typeface="Yu Gothic"/>
              <a:ea typeface="Yu Gothic"/>
            </a:rPr>
            <a:t>へ</a:t>
          </a:r>
          <a:endParaRPr lang="en-US" sz="1100" b="0" u="none" strike="noStrike">
            <a:effectLst/>
            <a:uFillTx/>
            <a:latin typeface="Noto Serif JP"/>
          </a:endParaRPr>
        </a:p>
      </xdr:txBody>
    </xdr:sp>
    <xdr:clientData/>
  </xdr:twoCellAnchor>
  <xdr:twoCellAnchor editAs="oneCell">
    <xdr:from>
      <xdr:col>3</xdr:col>
      <xdr:colOff>47520</xdr:colOff>
      <xdr:row>22</xdr:row>
      <xdr:rowOff>66600</xdr:rowOff>
    </xdr:from>
    <xdr:to>
      <xdr:col>4</xdr:col>
      <xdr:colOff>8640</xdr:colOff>
      <xdr:row>23</xdr:row>
      <xdr:rowOff>18000</xdr:rowOff>
    </xdr:to>
    <xdr:sp>
      <xdr:nvSpPr>
        <xdr:cNvPr id="62" name="図形 62"/>
        <xdr:cNvSpPr/>
      </xdr:nvSpPr>
      <xdr:spPr>
        <a:xfrm>
          <a:off x="2162160" y="5305320"/>
          <a:ext cx="666000" cy="189720"/>
        </a:xfrm>
        <a:prstGeom prst="right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6</xdr:col>
      <xdr:colOff>428760</xdr:colOff>
      <xdr:row>22</xdr:row>
      <xdr:rowOff>66600</xdr:rowOff>
    </xdr:from>
    <xdr:to>
      <xdr:col>7</xdr:col>
      <xdr:colOff>390240</xdr:colOff>
      <xdr:row>23</xdr:row>
      <xdr:rowOff>18000</xdr:rowOff>
    </xdr:to>
    <xdr:sp>
      <xdr:nvSpPr>
        <xdr:cNvPr id="63" name="図形 63"/>
        <xdr:cNvSpPr/>
      </xdr:nvSpPr>
      <xdr:spPr>
        <a:xfrm>
          <a:off x="4658040" y="5305320"/>
          <a:ext cx="666000" cy="189720"/>
        </a:xfrm>
        <a:prstGeom prst="right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10</xdr:col>
      <xdr:colOff>47520</xdr:colOff>
      <xdr:row>22</xdr:row>
      <xdr:rowOff>66600</xdr:rowOff>
    </xdr:from>
    <xdr:to>
      <xdr:col>11</xdr:col>
      <xdr:colOff>8640</xdr:colOff>
      <xdr:row>23</xdr:row>
      <xdr:rowOff>18000</xdr:rowOff>
    </xdr:to>
    <xdr:sp>
      <xdr:nvSpPr>
        <xdr:cNvPr id="64" name="図形 64"/>
        <xdr:cNvSpPr/>
      </xdr:nvSpPr>
      <xdr:spPr>
        <a:xfrm>
          <a:off x="7095960" y="5305320"/>
          <a:ext cx="666000" cy="189720"/>
        </a:xfrm>
        <a:prstGeom prst="right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12</xdr:col>
      <xdr:colOff>95400</xdr:colOff>
      <xdr:row>26</xdr:row>
      <xdr:rowOff>38160</xdr:rowOff>
    </xdr:from>
    <xdr:to>
      <xdr:col>12</xdr:col>
      <xdr:colOff>285120</xdr:colOff>
      <xdr:row>28</xdr:row>
      <xdr:rowOff>132840</xdr:rowOff>
    </xdr:to>
    <xdr:sp>
      <xdr:nvSpPr>
        <xdr:cNvPr id="65" name="図形 65"/>
        <xdr:cNvSpPr/>
      </xdr:nvSpPr>
      <xdr:spPr>
        <a:xfrm>
          <a:off x="8553600" y="6229440"/>
          <a:ext cx="189720" cy="570960"/>
        </a:xfrm>
        <a:prstGeom prst="down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11</xdr:col>
      <xdr:colOff>47520</xdr:colOff>
      <xdr:row>29</xdr:row>
      <xdr:rowOff>28440</xdr:rowOff>
    </xdr:from>
    <xdr:to>
      <xdr:col>13</xdr:col>
      <xdr:colOff>446760</xdr:colOff>
      <xdr:row>35</xdr:row>
      <xdr:rowOff>27720</xdr:rowOff>
    </xdr:to>
    <xdr:sp>
      <xdr:nvSpPr>
        <xdr:cNvPr id="66" name="Bedrock LLM 背景"/>
        <xdr:cNvSpPr/>
      </xdr:nvSpPr>
      <xdr:spPr>
        <a:xfrm>
          <a:off x="7800840" y="6933960"/>
          <a:ext cx="1809000" cy="1428120"/>
        </a:xfrm>
        <a:prstGeom prst="roundRect">
          <a:avLst>
            <a:gd name="adj" fmla="val 16667"/>
          </a:avLst>
        </a:prstGeom>
        <a:solidFill>
          <a:srgbClr val="EFEAF8"/>
        </a:solidFill>
        <a:ln w="19050">
          <a:noFill/>
        </a:ln>
      </xdr:spPr>
      <xdr:style>
        <a:lnRef idx="0"/>
        <a:fillRef idx="0"/>
        <a:effectRef idx="0"/>
        <a:fontRef idx="minor"/>
      </xdr:style>
    </xdr:sp>
    <xdr:clientData/>
  </xdr:twoCellAnchor>
  <xdr:twoCellAnchor editAs="oneCell">
    <xdr:from>
      <xdr:col>11</xdr:col>
      <xdr:colOff>703440</xdr:colOff>
      <xdr:row>29</xdr:row>
      <xdr:rowOff>181080</xdr:rowOff>
    </xdr:from>
    <xdr:to>
      <xdr:col>12</xdr:col>
      <xdr:colOff>474120</xdr:colOff>
      <xdr:row>31</xdr:row>
      <xdr:rowOff>142200</xdr:rowOff>
    </xdr:to>
    <xdr:sp>
      <xdr:nvSpPr>
        <xdr:cNvPr id="67" name="図形 67"/>
        <xdr:cNvSpPr/>
      </xdr:nvSpPr>
      <xdr:spPr>
        <a:xfrm>
          <a:off x="8456760" y="7086600"/>
          <a:ext cx="475560" cy="437400"/>
        </a:xfrm>
        <a:prstGeom prst="roundRect">
          <a:avLst>
            <a:gd name="adj" fmla="val 16667"/>
          </a:avLst>
        </a:prstGeom>
        <a:noFill/>
        <a:ln w="19050">
          <a:solidFill>
            <a:srgbClr val="183153"/>
          </a:solidFill>
          <a:round/>
        </a:ln>
      </xdr:spPr>
      <xdr:style>
        <a:lnRef idx="0"/>
        <a:fillRef idx="0"/>
        <a:effectRef idx="0"/>
        <a:fontRef idx="minor"/>
      </xdr:style>
    </xdr:sp>
    <xdr:clientData/>
  </xdr:twoCellAnchor>
  <xdr:twoCellAnchor editAs="oneCell">
    <xdr:from>
      <xdr:col>11</xdr:col>
      <xdr:colOff>703440</xdr:colOff>
      <xdr:row>29</xdr:row>
      <xdr:rowOff>209520</xdr:rowOff>
    </xdr:from>
    <xdr:to>
      <xdr:col>12</xdr:col>
      <xdr:colOff>416880</xdr:colOff>
      <xdr:row>31</xdr:row>
      <xdr:rowOff>113400</xdr:rowOff>
    </xdr:to>
    <xdr:sp>
      <xdr:nvSpPr>
        <xdr:cNvPr id="68" name="AI"/>
        <xdr:cNvSpPr/>
      </xdr:nvSpPr>
      <xdr:spPr>
        <a:xfrm>
          <a:off x="8456760" y="7115040"/>
          <a:ext cx="418320" cy="38016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600" b="1" u="none" strike="noStrike">
              <a:solidFill>
                <a:srgbClr val="183153"/>
              </a:solidFill>
              <a:effectLst/>
              <a:uFillTx/>
              <a:latin typeface="Yu Gothic"/>
              <a:ea typeface="Yu Gothic"/>
            </a:rPr>
            <a:t>AI</a:t>
          </a:r>
          <a:endParaRPr lang="en-US" sz="1600" b="0" u="none" strike="noStrike">
            <a:effectLst/>
            <a:uFillTx/>
            <a:latin typeface="Noto Serif JP"/>
          </a:endParaRPr>
        </a:p>
      </xdr:txBody>
    </xdr:sp>
    <xdr:clientData/>
  </xdr:twoCellAnchor>
  <xdr:twoCellAnchor editAs="oneCell">
    <xdr:from>
      <xdr:col>11</xdr:col>
      <xdr:colOff>609480</xdr:colOff>
      <xdr:row>30</xdr:row>
      <xdr:rowOff>142920</xdr:rowOff>
    </xdr:from>
    <xdr:to>
      <xdr:col>12</xdr:col>
      <xdr:colOff>8640</xdr:colOff>
      <xdr:row>30</xdr:row>
      <xdr:rowOff>170640</xdr:rowOff>
    </xdr:to>
    <xdr:sp>
      <xdr:nvSpPr>
        <xdr:cNvPr id="69" name="図形 69"/>
        <xdr:cNvSpPr/>
      </xdr:nvSpPr>
      <xdr:spPr>
        <a:xfrm>
          <a:off x="8362800" y="7286760"/>
          <a:ext cx="104040" cy="27720"/>
        </a:xfrm>
        <a:prstGeom prst="rect">
          <a:avLst/>
        </a:prstGeom>
        <a:solidFill>
          <a:srgbClr val="183153"/>
        </a:solidFill>
        <a:ln w="19050">
          <a:noFill/>
        </a:ln>
      </xdr:spPr>
      <xdr:style>
        <a:lnRef idx="0"/>
        <a:fillRef idx="0"/>
        <a:effectRef idx="0"/>
        <a:fontRef idx="minor"/>
      </xdr:style>
    </xdr:sp>
    <xdr:clientData/>
  </xdr:twoCellAnchor>
  <xdr:twoCellAnchor editAs="oneCell">
    <xdr:from>
      <xdr:col>12</xdr:col>
      <xdr:colOff>428760</xdr:colOff>
      <xdr:row>30</xdr:row>
      <xdr:rowOff>142920</xdr:rowOff>
    </xdr:from>
    <xdr:to>
      <xdr:col>12</xdr:col>
      <xdr:colOff>532800</xdr:colOff>
      <xdr:row>30</xdr:row>
      <xdr:rowOff>170640</xdr:rowOff>
    </xdr:to>
    <xdr:sp>
      <xdr:nvSpPr>
        <xdr:cNvPr id="70" name="図形 70"/>
        <xdr:cNvSpPr/>
      </xdr:nvSpPr>
      <xdr:spPr>
        <a:xfrm>
          <a:off x="8886960" y="7286760"/>
          <a:ext cx="104040" cy="27720"/>
        </a:xfrm>
        <a:prstGeom prst="rect">
          <a:avLst/>
        </a:prstGeom>
        <a:solidFill>
          <a:srgbClr val="183153"/>
        </a:solidFill>
        <a:ln w="19050">
          <a:noFill/>
        </a:ln>
      </xdr:spPr>
      <xdr:style>
        <a:lnRef idx="0"/>
        <a:fillRef idx="0"/>
        <a:effectRef idx="0"/>
        <a:fontRef idx="minor"/>
      </xdr:style>
    </xdr:sp>
    <xdr:clientData/>
  </xdr:twoCellAnchor>
  <xdr:twoCellAnchor editAs="oneCell">
    <xdr:from>
      <xdr:col>12</xdr:col>
      <xdr:colOff>181080</xdr:colOff>
      <xdr:row>29</xdr:row>
      <xdr:rowOff>66600</xdr:rowOff>
    </xdr:from>
    <xdr:to>
      <xdr:col>12</xdr:col>
      <xdr:colOff>208800</xdr:colOff>
      <xdr:row>29</xdr:row>
      <xdr:rowOff>180360</xdr:rowOff>
    </xdr:to>
    <xdr:sp>
      <xdr:nvSpPr>
        <xdr:cNvPr id="71" name="図形 71"/>
        <xdr:cNvSpPr/>
      </xdr:nvSpPr>
      <xdr:spPr>
        <a:xfrm>
          <a:off x="8639280" y="6972120"/>
          <a:ext cx="27720" cy="113760"/>
        </a:xfrm>
        <a:prstGeom prst="rect">
          <a:avLst/>
        </a:prstGeom>
        <a:solidFill>
          <a:srgbClr val="183153"/>
        </a:solidFill>
        <a:ln w="19050">
          <a:noFill/>
        </a:ln>
      </xdr:spPr>
      <xdr:style>
        <a:lnRef idx="0"/>
        <a:fillRef idx="0"/>
        <a:effectRef idx="0"/>
        <a:fontRef idx="minor"/>
      </xdr:style>
    </xdr:sp>
    <xdr:clientData/>
  </xdr:twoCellAnchor>
  <xdr:twoCellAnchor editAs="oneCell">
    <xdr:from>
      <xdr:col>12</xdr:col>
      <xdr:colOff>181080</xdr:colOff>
      <xdr:row>31</xdr:row>
      <xdr:rowOff>142920</xdr:rowOff>
    </xdr:from>
    <xdr:to>
      <xdr:col>12</xdr:col>
      <xdr:colOff>208800</xdr:colOff>
      <xdr:row>32</xdr:row>
      <xdr:rowOff>18360</xdr:rowOff>
    </xdr:to>
    <xdr:sp>
      <xdr:nvSpPr>
        <xdr:cNvPr id="72" name="図形 72"/>
        <xdr:cNvSpPr/>
      </xdr:nvSpPr>
      <xdr:spPr>
        <a:xfrm>
          <a:off x="8639280" y="7524720"/>
          <a:ext cx="27720" cy="113760"/>
        </a:xfrm>
        <a:prstGeom prst="rect">
          <a:avLst/>
        </a:prstGeom>
        <a:solidFill>
          <a:srgbClr val="183153"/>
        </a:solidFill>
        <a:ln w="19050">
          <a:noFill/>
        </a:ln>
      </xdr:spPr>
      <xdr:style>
        <a:lnRef idx="0"/>
        <a:fillRef idx="0"/>
        <a:effectRef idx="0"/>
        <a:fontRef idx="minor"/>
      </xdr:style>
    </xdr:sp>
    <xdr:clientData/>
  </xdr:twoCellAnchor>
  <xdr:twoCellAnchor editAs="oneCell">
    <xdr:from>
      <xdr:col>11</xdr:col>
      <xdr:colOff>85680</xdr:colOff>
      <xdr:row>32</xdr:row>
      <xdr:rowOff>0</xdr:rowOff>
    </xdr:from>
    <xdr:to>
      <xdr:col>13</xdr:col>
      <xdr:colOff>408600</xdr:colOff>
      <xdr:row>33</xdr:row>
      <xdr:rowOff>56520</xdr:rowOff>
    </xdr:to>
    <xdr:sp>
      <xdr:nvSpPr>
        <xdr:cNvPr id="73" name="Bedrock LLM"/>
        <xdr:cNvSpPr/>
      </xdr:nvSpPr>
      <xdr:spPr>
        <a:xfrm>
          <a:off x="7839000" y="762012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400" b="1" u="none" strike="noStrike">
              <a:solidFill>
                <a:srgbClr val="243247"/>
              </a:solidFill>
              <a:effectLst/>
              <a:uFillTx/>
              <a:latin typeface="Yu Gothic"/>
              <a:ea typeface="Yu Gothic"/>
            </a:rPr>
            <a:t>Bedrock LLM</a:t>
          </a:r>
          <a:endParaRPr lang="en-US" sz="1400" b="0" u="none" strike="noStrike">
            <a:effectLst/>
            <a:uFillTx/>
            <a:latin typeface="Noto Serif JP"/>
          </a:endParaRPr>
        </a:p>
      </xdr:txBody>
    </xdr:sp>
    <xdr:clientData/>
  </xdr:twoCellAnchor>
  <xdr:twoCellAnchor editAs="oneCell">
    <xdr:from>
      <xdr:col>11</xdr:col>
      <xdr:colOff>95400</xdr:colOff>
      <xdr:row>33</xdr:row>
      <xdr:rowOff>85680</xdr:rowOff>
    </xdr:from>
    <xdr:to>
      <xdr:col>13</xdr:col>
      <xdr:colOff>399600</xdr:colOff>
      <xdr:row>34</xdr:row>
      <xdr:rowOff>170640</xdr:rowOff>
    </xdr:to>
    <xdr:sp>
      <xdr:nvSpPr>
        <xdr:cNvPr id="74" name="Nova Liteが回答を生成"/>
        <xdr:cNvSpPr/>
      </xdr:nvSpPr>
      <xdr:spPr>
        <a:xfrm>
          <a:off x="7848720" y="794376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en-US" sz="1100" b="0" u="none" strike="noStrike">
              <a:solidFill>
                <a:srgbClr val="243247"/>
              </a:solidFill>
              <a:effectLst/>
              <a:uFillTx/>
              <a:latin typeface="Yu Gothic"/>
              <a:ea typeface="Yu Gothic"/>
            </a:rPr>
            <a:t>Nova Lite</a:t>
          </a:r>
          <a:r>
            <a:rPr lang="ja-JP" sz="1100" b="0" u="none" strike="noStrike">
              <a:solidFill>
                <a:srgbClr val="243247"/>
              </a:solidFill>
              <a:effectLst/>
              <a:uFillTx/>
              <a:latin typeface="Yu Gothic"/>
              <a:ea typeface="Yu Gothic"/>
            </a:rPr>
            <a:t>が回答を生成</a:t>
          </a:r>
          <a:endParaRPr lang="en-US" sz="1100" b="0" u="none" strike="noStrike">
            <a:effectLst/>
            <a:uFillTx/>
            <a:latin typeface="Noto Serif JP"/>
          </a:endParaRPr>
        </a:p>
      </xdr:txBody>
    </xdr:sp>
    <xdr:clientData/>
  </xdr:twoCellAnchor>
  <xdr:twoCellAnchor editAs="oneCell">
    <xdr:from>
      <xdr:col>7</xdr:col>
      <xdr:colOff>428760</xdr:colOff>
      <xdr:row>29</xdr:row>
      <xdr:rowOff>28440</xdr:rowOff>
    </xdr:from>
    <xdr:to>
      <xdr:col>10</xdr:col>
      <xdr:colOff>123120</xdr:colOff>
      <xdr:row>35</xdr:row>
      <xdr:rowOff>27720</xdr:rowOff>
    </xdr:to>
    <xdr:sp>
      <xdr:nvSpPr>
        <xdr:cNvPr id="75" name="回答＋引用元 背景"/>
        <xdr:cNvSpPr/>
      </xdr:nvSpPr>
      <xdr:spPr>
        <a:xfrm>
          <a:off x="5362560" y="6933960"/>
          <a:ext cx="1809000" cy="1428120"/>
        </a:xfrm>
        <a:prstGeom prst="roundRect">
          <a:avLst>
            <a:gd name="adj" fmla="val 16667"/>
          </a:avLst>
        </a:prstGeom>
        <a:solidFill>
          <a:srgbClr val="FFF2D7"/>
        </a:solidFill>
        <a:ln w="19050">
          <a:noFill/>
        </a:ln>
      </xdr:spPr>
      <xdr:style>
        <a:lnRef idx="0"/>
        <a:fillRef idx="0"/>
        <a:effectRef idx="0"/>
        <a:fontRef idx="minor"/>
      </xdr:style>
    </xdr:sp>
    <xdr:clientData/>
  </xdr:twoCellAnchor>
  <xdr:twoCellAnchor editAs="oneCell">
    <xdr:from>
      <xdr:col>8</xdr:col>
      <xdr:colOff>295200</xdr:colOff>
      <xdr:row>29</xdr:row>
      <xdr:rowOff>171360</xdr:rowOff>
    </xdr:from>
    <xdr:to>
      <xdr:col>9</xdr:col>
      <xdr:colOff>142200</xdr:colOff>
      <xdr:row>31</xdr:row>
      <xdr:rowOff>132480</xdr:rowOff>
    </xdr:to>
    <xdr:sp>
      <xdr:nvSpPr>
        <xdr:cNvPr id="76" name="図形 76"/>
        <xdr:cNvSpPr/>
      </xdr:nvSpPr>
      <xdr:spPr>
        <a:xfrm>
          <a:off x="5933880" y="7076880"/>
          <a:ext cx="551880" cy="437400"/>
        </a:xfrm>
        <a:prstGeom prst="wedgeRectCallout">
          <a:avLst>
            <a:gd name="adj1" fmla="val -20833"/>
            <a:gd name="adj2" fmla="val 62500"/>
          </a:avLst>
        </a:prstGeom>
        <a:noFill/>
        <a:ln w="19050">
          <a:solidFill>
            <a:srgbClr val="183153"/>
          </a:solidFill>
          <a:round/>
        </a:ln>
      </xdr:spPr>
      <xdr:style>
        <a:lnRef idx="0"/>
        <a:fillRef idx="0"/>
        <a:effectRef idx="0"/>
        <a:fontRef idx="minor"/>
      </xdr:style>
    </xdr:sp>
    <xdr:clientData/>
  </xdr:twoCellAnchor>
  <xdr:twoCellAnchor editAs="oneCell">
    <xdr:from>
      <xdr:col>7</xdr:col>
      <xdr:colOff>466560</xdr:colOff>
      <xdr:row>32</xdr:row>
      <xdr:rowOff>0</xdr:rowOff>
    </xdr:from>
    <xdr:to>
      <xdr:col>10</xdr:col>
      <xdr:colOff>84600</xdr:colOff>
      <xdr:row>33</xdr:row>
      <xdr:rowOff>56520</xdr:rowOff>
    </xdr:to>
    <xdr:sp>
      <xdr:nvSpPr>
        <xdr:cNvPr id="77" name="回答＋引用元"/>
        <xdr:cNvSpPr/>
      </xdr:nvSpPr>
      <xdr:spPr>
        <a:xfrm>
          <a:off x="5400360" y="7620120"/>
          <a:ext cx="1732680" cy="2944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400" b="1" u="none" strike="noStrike">
              <a:solidFill>
                <a:srgbClr val="243247"/>
              </a:solidFill>
              <a:effectLst/>
              <a:uFillTx/>
              <a:latin typeface="Yu Gothic"/>
              <a:ea typeface="Yu Gothic"/>
            </a:rPr>
            <a:t>回答＋引用元</a:t>
          </a:r>
          <a:endParaRPr lang="en-US" sz="1400" b="0" u="none" strike="noStrike">
            <a:effectLst/>
            <a:uFillTx/>
            <a:latin typeface="Noto Serif JP"/>
          </a:endParaRPr>
        </a:p>
      </xdr:txBody>
    </xdr:sp>
    <xdr:clientData/>
  </xdr:twoCellAnchor>
  <xdr:twoCellAnchor editAs="oneCell">
    <xdr:from>
      <xdr:col>7</xdr:col>
      <xdr:colOff>476280</xdr:colOff>
      <xdr:row>33</xdr:row>
      <xdr:rowOff>85680</xdr:rowOff>
    </xdr:from>
    <xdr:to>
      <xdr:col>10</xdr:col>
      <xdr:colOff>75600</xdr:colOff>
      <xdr:row>34</xdr:row>
      <xdr:rowOff>170640</xdr:rowOff>
    </xdr:to>
    <xdr:sp>
      <xdr:nvSpPr>
        <xdr:cNvPr id="78" name="担当者が原文を確認"/>
        <xdr:cNvSpPr/>
      </xdr:nvSpPr>
      <xdr:spPr>
        <a:xfrm>
          <a:off x="5410080" y="7943760"/>
          <a:ext cx="171396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100" b="0" u="none" strike="noStrike">
              <a:solidFill>
                <a:srgbClr val="243247"/>
              </a:solidFill>
              <a:effectLst/>
              <a:uFillTx/>
              <a:latin typeface="Yu Gothic"/>
              <a:ea typeface="Yu Gothic"/>
            </a:rPr>
            <a:t>担当者が原文を確認</a:t>
          </a:r>
          <a:endParaRPr lang="en-US" sz="1100" b="0" u="none" strike="noStrike">
            <a:effectLst/>
            <a:uFillTx/>
            <a:latin typeface="Noto Serif JP"/>
          </a:endParaRPr>
        </a:p>
      </xdr:txBody>
    </xdr:sp>
    <xdr:clientData/>
  </xdr:twoCellAnchor>
  <xdr:twoCellAnchor editAs="oneCell">
    <xdr:from>
      <xdr:col>10</xdr:col>
      <xdr:colOff>47520</xdr:colOff>
      <xdr:row>31</xdr:row>
      <xdr:rowOff>171360</xdr:rowOff>
    </xdr:from>
    <xdr:to>
      <xdr:col>11</xdr:col>
      <xdr:colOff>8640</xdr:colOff>
      <xdr:row>32</xdr:row>
      <xdr:rowOff>122760</xdr:rowOff>
    </xdr:to>
    <xdr:sp>
      <xdr:nvSpPr>
        <xdr:cNvPr id="79" name="図形 79"/>
        <xdr:cNvSpPr/>
      </xdr:nvSpPr>
      <xdr:spPr>
        <a:xfrm>
          <a:off x="7095960" y="7553160"/>
          <a:ext cx="666000" cy="189720"/>
        </a:xfrm>
        <a:prstGeom prst="leftArrow">
          <a:avLst>
            <a:gd name="adj1" fmla="val 50000"/>
            <a:gd name="adj2" fmla="val 50000"/>
          </a:avLst>
        </a:prstGeom>
        <a:solidFill>
          <a:srgbClr val="657F98"/>
        </a:solidFill>
        <a:ln w="19050">
          <a:noFill/>
        </a:ln>
      </xdr:spPr>
      <xdr:style>
        <a:lnRef idx="0"/>
        <a:fillRef idx="0"/>
        <a:effectRef idx="0"/>
        <a:fontRef idx="minor"/>
      </xdr:style>
    </xdr:sp>
    <xdr:clientData/>
  </xdr:twoCellAnchor>
  <xdr:twoCellAnchor editAs="oneCell">
    <xdr:from>
      <xdr:col>0</xdr:col>
      <xdr:colOff>428760</xdr:colOff>
      <xdr:row>28</xdr:row>
      <xdr:rowOff>219240</xdr:rowOff>
    </xdr:from>
    <xdr:to>
      <xdr:col>6</xdr:col>
      <xdr:colOff>675360</xdr:colOff>
      <xdr:row>35</xdr:row>
      <xdr:rowOff>85320</xdr:rowOff>
    </xdr:to>
    <xdr:sp>
      <xdr:nvSpPr>
        <xdr:cNvPr id="80" name="図形 80"/>
        <xdr:cNvSpPr/>
      </xdr:nvSpPr>
      <xdr:spPr>
        <a:xfrm>
          <a:off x="428760" y="6886800"/>
          <a:ext cx="4475880" cy="1532880"/>
        </a:xfrm>
        <a:prstGeom prst="roundRect">
          <a:avLst>
            <a:gd name="adj" fmla="val 16667"/>
          </a:avLst>
        </a:prstGeom>
        <a:solidFill>
          <a:srgbClr val="E6F1EB"/>
        </a:solidFill>
        <a:ln w="19050">
          <a:noFill/>
        </a:ln>
      </xdr:spPr>
      <xdr:style>
        <a:lnRef idx="0"/>
        <a:fillRef idx="0"/>
        <a:effectRef idx="0"/>
        <a:fontRef idx="minor"/>
      </xdr:style>
    </xdr:sp>
    <xdr:clientData/>
  </xdr:twoCellAnchor>
  <xdr:twoCellAnchor editAs="oneCell">
    <xdr:from>
      <xdr:col>0</xdr:col>
      <xdr:colOff>523800</xdr:colOff>
      <xdr:row>29</xdr:row>
      <xdr:rowOff>142920</xdr:rowOff>
    </xdr:from>
    <xdr:to>
      <xdr:col>6</xdr:col>
      <xdr:colOff>579960</xdr:colOff>
      <xdr:row>30</xdr:row>
      <xdr:rowOff>227880</xdr:rowOff>
    </xdr:to>
    <xdr:sp>
      <xdr:nvSpPr>
        <xdr:cNvPr id="81" name="社内文書は一般公開しない"/>
        <xdr:cNvSpPr/>
      </xdr:nvSpPr>
      <xdr:spPr>
        <a:xfrm>
          <a:off x="523800" y="7048440"/>
          <a:ext cx="4285440" cy="3232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600" b="1" u="none" strike="noStrike">
              <a:solidFill>
                <a:srgbClr val="243247"/>
              </a:solidFill>
              <a:effectLst/>
              <a:uFillTx/>
              <a:latin typeface="Yu Gothic"/>
              <a:ea typeface="Yu Gothic"/>
            </a:rPr>
            <a:t>社内文書は一般公開しない</a:t>
          </a:r>
          <a:endParaRPr lang="en-US" sz="1600" b="0" u="none" strike="noStrike">
            <a:effectLst/>
            <a:uFillTx/>
            <a:latin typeface="Noto Serif JP"/>
          </a:endParaRPr>
        </a:p>
      </xdr:txBody>
    </xdr:sp>
    <xdr:clientData/>
  </xdr:twoCellAnchor>
  <xdr:twoCellAnchor editAs="oneCell">
    <xdr:from>
      <xdr:col>0</xdr:col>
      <xdr:colOff>523800</xdr:colOff>
      <xdr:row>31</xdr:row>
      <xdr:rowOff>76320</xdr:rowOff>
    </xdr:from>
    <xdr:to>
      <xdr:col>6</xdr:col>
      <xdr:colOff>579960</xdr:colOff>
      <xdr:row>34</xdr:row>
      <xdr:rowOff>208800</xdr:rowOff>
    </xdr:to>
    <xdr:sp>
      <xdr:nvSpPr>
        <xdr:cNvPr id="82" name="ただし、数値化・回答生成のために"/>
        <xdr:cNvSpPr/>
      </xdr:nvSpPr>
      <xdr:spPr>
        <a:xfrm>
          <a:off x="523800" y="7458120"/>
          <a:ext cx="4285440" cy="84708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300" b="0" u="none" strike="noStrike">
              <a:solidFill>
                <a:srgbClr val="243247"/>
              </a:solidFill>
              <a:effectLst/>
              <a:uFillTx/>
              <a:latin typeface="Yu Gothic"/>
              <a:ea typeface="Yu Gothic"/>
            </a:rPr>
            <a:t>ただし、数値化・回答生成のために</a:t>
          </a:r>
          <a:endParaRPr lang="en-US" sz="1300" b="0" u="none" strike="noStrike">
            <a:effectLst/>
            <a:uFillTx/>
            <a:latin typeface="Noto Serif JP"/>
          </a:endParaRPr>
        </a:p>
        <a:p>
          <a:pPr algn="ctr">
            <a:lnSpc>
              <a:spcPct val="100000"/>
            </a:lnSpc>
          </a:pPr>
          <a:r>
            <a:rPr lang="en-US" sz="1300" b="0" u="none" strike="noStrike">
              <a:solidFill>
                <a:srgbClr val="243247"/>
              </a:solidFill>
              <a:effectLst/>
              <a:uFillTx/>
              <a:latin typeface="Yu Gothic"/>
              <a:ea typeface="Yu Gothic"/>
            </a:rPr>
            <a:t>AWS</a:t>
          </a:r>
          <a:r>
            <a:rPr lang="ja-JP" sz="1300" b="0" u="none" strike="noStrike">
              <a:solidFill>
                <a:srgbClr val="243247"/>
              </a:solidFill>
              <a:effectLst/>
              <a:uFillTx/>
              <a:latin typeface="Yu Gothic"/>
              <a:ea typeface="Yu Gothic"/>
            </a:rPr>
            <a:t>の</a:t>
          </a:r>
          <a:r>
            <a:rPr lang="en-US" sz="1300" b="0" u="none" strike="noStrike">
              <a:solidFill>
                <a:srgbClr val="243247"/>
              </a:solidFill>
              <a:effectLst/>
              <a:uFillTx/>
              <a:latin typeface="Yu Gothic"/>
              <a:ea typeface="Yu Gothic"/>
            </a:rPr>
            <a:t>Bedrock</a:t>
          </a:r>
          <a:r>
            <a:rPr lang="ja-JP" sz="1300" b="0" u="none" strike="noStrike">
              <a:solidFill>
                <a:srgbClr val="243247"/>
              </a:solidFill>
              <a:effectLst/>
              <a:uFillTx/>
              <a:latin typeface="Yu Gothic"/>
              <a:ea typeface="Yu Gothic"/>
            </a:rPr>
            <a:t>で本文・抜粋を処理する。</a:t>
          </a:r>
          <a:endParaRPr lang="en-US" sz="1300" b="0" u="none" strike="noStrike">
            <a:effectLst/>
            <a:uFillTx/>
            <a:latin typeface="Noto Serif JP"/>
          </a:endParaRPr>
        </a:p>
        <a:p>
          <a:pPr algn="ctr">
            <a:lnSpc>
              <a:spcPct val="100000"/>
            </a:lnSpc>
          </a:pPr>
          <a:r>
            <a:rPr lang="ja-JP" sz="1300" b="0" u="none" strike="noStrike">
              <a:solidFill>
                <a:srgbClr val="243247"/>
              </a:solidFill>
              <a:effectLst/>
              <a:uFillTx/>
              <a:latin typeface="Yu Gothic"/>
              <a:ea typeface="Yu Gothic"/>
            </a:rPr>
            <a:t>暗号化とアクセス権で保護する。</a:t>
          </a:r>
          <a:endParaRPr lang="en-US" sz="1300" b="0" u="none" strike="noStrike">
            <a:effectLst/>
            <a:uFillTx/>
            <a:latin typeface="Noto Serif JP"/>
          </a:endParaRPr>
        </a:p>
      </xdr:txBody>
    </xdr:sp>
    <xdr:clientData/>
  </xdr:twoCellAnchor>
  <xdr:twoCellAnchor editAs="oneCell">
    <xdr:from>
      <xdr:col>0</xdr:col>
      <xdr:colOff>285840</xdr:colOff>
      <xdr:row>36</xdr:row>
      <xdr:rowOff>57240</xdr:rowOff>
    </xdr:from>
    <xdr:to>
      <xdr:col>14</xdr:col>
      <xdr:colOff>513720</xdr:colOff>
      <xdr:row>37</xdr:row>
      <xdr:rowOff>151920</xdr:rowOff>
    </xdr:to>
    <xdr:sp>
      <xdr:nvSpPr>
        <xdr:cNvPr id="83" name="原本S3と検索用S3 Vectorsは別の保存先。文書を更新したら同期する。"/>
        <xdr:cNvSpPr/>
      </xdr:nvSpPr>
      <xdr:spPr>
        <a:xfrm>
          <a:off x="285840" y="8629920"/>
          <a:ext cx="10095840" cy="332640"/>
        </a:xfrm>
        <a:prstGeom prst="rect">
          <a:avLst/>
        </a:prstGeom>
        <a:noFill/>
        <a:ln w="19050">
          <a:noFill/>
        </a:ln>
      </xdr:spPr>
      <xdr:style>
        <a:lnRef idx="0"/>
        <a:fillRef idx="0"/>
        <a:effectRef idx="0"/>
        <a:fontRef idx="minor"/>
      </xdr:style>
      <xdr:txBody>
        <a:bodyPr lIns="19080" tIns="0" rIns="19080" bIns="0" anchor="ctr">
          <a:noAutofit/>
        </a:bodyPr>
        <a:p>
          <a:pPr algn="ctr">
            <a:lnSpc>
              <a:spcPct val="100000"/>
            </a:lnSpc>
          </a:pPr>
          <a:r>
            <a:rPr lang="ja-JP" sz="1200" b="0" u="none" strike="noStrike">
              <a:solidFill>
                <a:srgbClr val="243247"/>
              </a:solidFill>
              <a:effectLst/>
              <a:uFillTx/>
              <a:latin typeface="Yu Gothic"/>
              <a:ea typeface="Yu Gothic"/>
            </a:rPr>
            <a:t>原本</a:t>
          </a:r>
          <a:r>
            <a:rPr lang="en-US" sz="1200" b="0" u="none" strike="noStrike">
              <a:solidFill>
                <a:srgbClr val="243247"/>
              </a:solidFill>
              <a:effectLst/>
              <a:uFillTx/>
              <a:latin typeface="Yu Gothic"/>
              <a:ea typeface="Yu Gothic"/>
            </a:rPr>
            <a:t>S3</a:t>
          </a:r>
          <a:r>
            <a:rPr lang="ja-JP" sz="1200" b="0" u="none" strike="noStrike">
              <a:solidFill>
                <a:srgbClr val="243247"/>
              </a:solidFill>
              <a:effectLst/>
              <a:uFillTx/>
              <a:latin typeface="Yu Gothic"/>
              <a:ea typeface="Yu Gothic"/>
            </a:rPr>
            <a:t>と検索用</a:t>
          </a:r>
          <a:r>
            <a:rPr lang="en-US" sz="1200" b="0" u="none" strike="noStrike">
              <a:solidFill>
                <a:srgbClr val="243247"/>
              </a:solidFill>
              <a:effectLst/>
              <a:uFillTx/>
              <a:latin typeface="Yu Gothic"/>
              <a:ea typeface="Yu Gothic"/>
            </a:rPr>
            <a:t>S3 Vectors</a:t>
          </a:r>
          <a:r>
            <a:rPr lang="ja-JP" sz="1200" b="0" u="none" strike="noStrike">
              <a:solidFill>
                <a:srgbClr val="243247"/>
              </a:solidFill>
              <a:effectLst/>
              <a:uFillTx/>
              <a:latin typeface="Yu Gothic"/>
              <a:ea typeface="Yu Gothic"/>
            </a:rPr>
            <a:t>は別の保存先。文書を更新したら同期する。</a:t>
          </a:r>
          <a:endParaRPr lang="en-US" sz="1200" b="0" u="none" strike="noStrike">
            <a:effectLst/>
            <a:uFillTx/>
            <a:latin typeface="Noto Serif JP"/>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267480</xdr:colOff>
      <xdr:row>4</xdr:row>
      <xdr:rowOff>96120</xdr:rowOff>
    </xdr:from>
    <xdr:to>
      <xdr:col>18</xdr:col>
      <xdr:colOff>475560</xdr:colOff>
      <xdr:row>71</xdr:row>
      <xdr:rowOff>153000</xdr:rowOff>
    </xdr:to>
    <xdr:sp>
      <xdr:nvSpPr>
        <xdr:cNvPr id="84" name="シェイプ 1"/>
        <xdr:cNvSpPr/>
      </xdr:nvSpPr>
      <xdr:spPr>
        <a:xfrm>
          <a:off x="267480" y="746280"/>
          <a:ext cx="14838480" cy="10948320"/>
        </a:xfrm>
        <a:prstGeom prst="rect">
          <a:avLst/>
        </a:prstGeom>
        <a:solidFill>
          <a:srgbClr val="FFFFD7"/>
        </a:solidFill>
        <a:ln w="0">
          <a:solidFill>
            <a:srgbClr val="3465A4"/>
          </a:solidFill>
        </a:ln>
      </xdr:spPr>
      <xdr:style>
        <a:lnRef idx="0"/>
        <a:fillRef idx="0"/>
        <a:effectRef idx="0"/>
        <a:fontRef idx="minor"/>
      </xdr:style>
    </xdr:sp>
    <xdr:clientData/>
  </xdr:twoCellAnchor>
  <xdr:twoCellAnchor editAs="oneCell">
    <xdr:from>
      <xdr:col>0</xdr:col>
      <xdr:colOff>435960</xdr:colOff>
      <xdr:row>5</xdr:row>
      <xdr:rowOff>133920</xdr:rowOff>
    </xdr:from>
    <xdr:to>
      <xdr:col>15</xdr:col>
      <xdr:colOff>465480</xdr:colOff>
      <xdr:row>9</xdr:row>
      <xdr:rowOff>35640</xdr:rowOff>
    </xdr:to>
    <xdr:pic>
      <xdr:nvPicPr>
        <xdr:cNvPr id="85" name="画像 1"/>
        <xdr:cNvPicPr/>
      </xdr:nvPicPr>
      <xdr:blipFill>
        <a:blip r:embed="rId1"/>
        <a:stretch/>
      </xdr:blipFill>
      <xdr:spPr>
        <a:xfrm>
          <a:off x="435960" y="946800"/>
          <a:ext cx="12221640" cy="551880"/>
        </a:xfrm>
        <a:prstGeom prst="rect">
          <a:avLst/>
        </a:prstGeom>
        <a:noFill/>
        <a:ln w="0">
          <a:noFill/>
        </a:ln>
      </xdr:spPr>
    </xdr:pic>
    <xdr:clientData/>
  </xdr:twoCellAnchor>
  <xdr:twoCellAnchor editAs="oneCell">
    <xdr:from>
      <xdr:col>0</xdr:col>
      <xdr:colOff>485640</xdr:colOff>
      <xdr:row>11</xdr:row>
      <xdr:rowOff>9720</xdr:rowOff>
    </xdr:from>
    <xdr:to>
      <xdr:col>15</xdr:col>
      <xdr:colOff>391320</xdr:colOff>
      <xdr:row>33</xdr:row>
      <xdr:rowOff>62640</xdr:rowOff>
    </xdr:to>
    <xdr:pic>
      <xdr:nvPicPr>
        <xdr:cNvPr id="86" name="画像 2"/>
        <xdr:cNvPicPr/>
      </xdr:nvPicPr>
      <xdr:blipFill>
        <a:blip r:embed="rId2"/>
        <a:stretch/>
      </xdr:blipFill>
      <xdr:spPr>
        <a:xfrm>
          <a:off x="485640" y="1797840"/>
          <a:ext cx="12097800" cy="3629160"/>
        </a:xfrm>
        <a:prstGeom prst="rect">
          <a:avLst/>
        </a:prstGeom>
        <a:noFill/>
        <a:ln w="0">
          <a:noFill/>
        </a:ln>
      </xdr:spPr>
    </xdr:pic>
    <xdr:clientData/>
  </xdr:twoCellAnchor>
  <xdr:twoCellAnchor editAs="oneCell">
    <xdr:from>
      <xdr:col>0</xdr:col>
      <xdr:colOff>515160</xdr:colOff>
      <xdr:row>33</xdr:row>
      <xdr:rowOff>4320</xdr:rowOff>
    </xdr:from>
    <xdr:to>
      <xdr:col>15</xdr:col>
      <xdr:colOff>382680</xdr:colOff>
      <xdr:row>52</xdr:row>
      <xdr:rowOff>106200</xdr:rowOff>
    </xdr:to>
    <xdr:pic>
      <xdr:nvPicPr>
        <xdr:cNvPr id="87" name="画像 3"/>
        <xdr:cNvPicPr/>
      </xdr:nvPicPr>
      <xdr:blipFill>
        <a:blip r:embed="rId3"/>
        <a:stretch/>
      </xdr:blipFill>
      <xdr:spPr>
        <a:xfrm>
          <a:off x="515160" y="5368680"/>
          <a:ext cx="12059640" cy="3190680"/>
        </a:xfrm>
        <a:prstGeom prst="rect">
          <a:avLst/>
        </a:prstGeom>
        <a:noFill/>
        <a:ln w="0">
          <a:noFill/>
        </a:ln>
      </xdr:spPr>
    </xdr:pic>
    <xdr:clientData/>
  </xdr:twoCellAnchor>
  <xdr:twoCellAnchor editAs="oneCell">
    <xdr:from>
      <xdr:col>0</xdr:col>
      <xdr:colOff>505440</xdr:colOff>
      <xdr:row>52</xdr:row>
      <xdr:rowOff>67320</xdr:rowOff>
    </xdr:from>
    <xdr:to>
      <xdr:col>15</xdr:col>
      <xdr:colOff>496800</xdr:colOff>
      <xdr:row>67</xdr:row>
      <xdr:rowOff>19440</xdr:rowOff>
    </xdr:to>
    <xdr:pic>
      <xdr:nvPicPr>
        <xdr:cNvPr id="88" name="画像 4"/>
        <xdr:cNvPicPr/>
      </xdr:nvPicPr>
      <xdr:blipFill>
        <a:blip r:embed="rId4"/>
        <a:stretch/>
      </xdr:blipFill>
      <xdr:spPr>
        <a:xfrm>
          <a:off x="505440" y="8520480"/>
          <a:ext cx="12183480" cy="2390400"/>
        </a:xfrm>
        <a:prstGeom prst="rect">
          <a:avLst/>
        </a:prstGeom>
        <a:noFill/>
        <a:ln w="0">
          <a:noFill/>
        </a:ln>
      </xdr:spPr>
    </xdr:pic>
    <xdr:clientData/>
  </xdr:twoCellAnchor>
  <xdr:twoCellAnchor editAs="oneCell">
    <xdr:from>
      <xdr:col>0</xdr:col>
      <xdr:colOff>381960</xdr:colOff>
      <xdr:row>95</xdr:row>
      <xdr:rowOff>93240</xdr:rowOff>
    </xdr:from>
    <xdr:to>
      <xdr:col>18</xdr:col>
      <xdr:colOff>590040</xdr:colOff>
      <xdr:row>138</xdr:row>
      <xdr:rowOff>37800</xdr:rowOff>
    </xdr:to>
    <xdr:sp>
      <xdr:nvSpPr>
        <xdr:cNvPr id="89" name="シェイプ 2"/>
        <xdr:cNvSpPr/>
      </xdr:nvSpPr>
      <xdr:spPr>
        <a:xfrm>
          <a:off x="381960" y="16144920"/>
          <a:ext cx="14838480" cy="6934320"/>
        </a:xfrm>
        <a:prstGeom prst="rect">
          <a:avLst/>
        </a:prstGeom>
        <a:solidFill>
          <a:srgbClr val="FFFFD7"/>
        </a:solidFill>
        <a:ln w="0">
          <a:solidFill>
            <a:srgbClr val="3465A4"/>
          </a:solidFill>
        </a:ln>
      </xdr:spPr>
      <xdr:style>
        <a:lnRef idx="0"/>
        <a:fillRef idx="0"/>
        <a:effectRef idx="0"/>
        <a:fontRef idx="minor"/>
      </xdr:style>
    </xdr:sp>
    <xdr:clientData/>
  </xdr:twoCellAnchor>
  <xdr:twoCellAnchor editAs="oneCell">
    <xdr:from>
      <xdr:col>0</xdr:col>
      <xdr:colOff>566640</xdr:colOff>
      <xdr:row>97</xdr:row>
      <xdr:rowOff>96120</xdr:rowOff>
    </xdr:from>
    <xdr:to>
      <xdr:col>15</xdr:col>
      <xdr:colOff>548640</xdr:colOff>
      <xdr:row>100</xdr:row>
      <xdr:rowOff>141480</xdr:rowOff>
    </xdr:to>
    <xdr:pic>
      <xdr:nvPicPr>
        <xdr:cNvPr id="90" name="画像 5"/>
        <xdr:cNvPicPr/>
      </xdr:nvPicPr>
      <xdr:blipFill>
        <a:blip r:embed="rId5"/>
        <a:stretch/>
      </xdr:blipFill>
      <xdr:spPr>
        <a:xfrm>
          <a:off x="566640" y="16472880"/>
          <a:ext cx="12174120" cy="532800"/>
        </a:xfrm>
        <a:prstGeom prst="rect">
          <a:avLst/>
        </a:prstGeom>
        <a:noFill/>
        <a:ln w="0">
          <a:noFill/>
        </a:ln>
      </xdr:spPr>
    </xdr:pic>
    <xdr:clientData/>
  </xdr:twoCellAnchor>
  <xdr:twoCellAnchor editAs="oneCell">
    <xdr:from>
      <xdr:col>0</xdr:col>
      <xdr:colOff>569160</xdr:colOff>
      <xdr:row>103</xdr:row>
      <xdr:rowOff>137880</xdr:rowOff>
    </xdr:from>
    <xdr:to>
      <xdr:col>15</xdr:col>
      <xdr:colOff>541800</xdr:colOff>
      <xdr:row>118</xdr:row>
      <xdr:rowOff>42480</xdr:rowOff>
    </xdr:to>
    <xdr:pic>
      <xdr:nvPicPr>
        <xdr:cNvPr id="91" name="画像 6"/>
        <xdr:cNvPicPr/>
      </xdr:nvPicPr>
      <xdr:blipFill>
        <a:blip r:embed="rId6"/>
        <a:stretch/>
      </xdr:blipFill>
      <xdr:spPr>
        <a:xfrm>
          <a:off x="569160" y="17489880"/>
          <a:ext cx="12164760" cy="2342880"/>
        </a:xfrm>
        <a:prstGeom prst="rect">
          <a:avLst/>
        </a:prstGeom>
        <a:noFill/>
        <a:ln w="0">
          <a:noFill/>
        </a:ln>
      </xdr:spPr>
    </xdr:pic>
    <xdr:clientData/>
  </xdr:twoCellAnchor>
  <xdr:twoCellAnchor editAs="oneCell">
    <xdr:from>
      <xdr:col>0</xdr:col>
      <xdr:colOff>577800</xdr:colOff>
      <xdr:row>117</xdr:row>
      <xdr:rowOff>153000</xdr:rowOff>
    </xdr:from>
    <xdr:to>
      <xdr:col>15</xdr:col>
      <xdr:colOff>569160</xdr:colOff>
      <xdr:row>135</xdr:row>
      <xdr:rowOff>131760</xdr:rowOff>
    </xdr:to>
    <xdr:pic>
      <xdr:nvPicPr>
        <xdr:cNvPr id="92" name="画像 7"/>
        <xdr:cNvPicPr/>
      </xdr:nvPicPr>
      <xdr:blipFill>
        <a:blip r:embed="rId7"/>
        <a:stretch/>
      </xdr:blipFill>
      <xdr:spPr>
        <a:xfrm>
          <a:off x="577800" y="19780920"/>
          <a:ext cx="12183480" cy="29048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false" showRowColHeaders="true" showZeros="true" rightToLeft="false" tabSelected="false" showOutlineSymbols="true" defaultGridColor="true" view="normal" topLeftCell="A21" colorId="64" zoomScale="110" zoomScaleNormal="110" zoomScalePageLayoutView="100" workbookViewId="0">
      <selection pane="topLeft" activeCell="B34" activeCellId="0" sqref="B34"/>
    </sheetView>
  </sheetViews>
  <sheetFormatPr defaultColWidth="8.6796875" defaultRowHeight="15" customHeight="false" zeroHeight="false" outlineLevelRow="0" outlineLevelCol="0"/>
  <cols>
    <col collapsed="false" customWidth="true" hidden="false" outlineLevel="0" max="14" min="1" style="1" width="10"/>
  </cols>
  <sheetData>
    <row r="1" customFormat="false" ht="18.75" hidden="false" customHeight="true" outlineLevel="0" collapsed="false">
      <c r="A1" s="2"/>
      <c r="B1" s="2"/>
      <c r="C1" s="2"/>
      <c r="D1" s="2"/>
      <c r="E1" s="2"/>
      <c r="F1" s="2"/>
      <c r="G1" s="2"/>
      <c r="H1" s="2"/>
      <c r="I1" s="2"/>
      <c r="J1" s="2"/>
      <c r="K1" s="2"/>
      <c r="L1" s="2"/>
      <c r="M1" s="2"/>
      <c r="N1" s="2"/>
    </row>
    <row r="2" customFormat="false" ht="18.75" hidden="false" customHeight="true" outlineLevel="0" collapsed="false">
      <c r="A2" s="2"/>
      <c r="B2" s="3" t="s">
        <v>0</v>
      </c>
      <c r="C2" s="3" t="s">
        <v>0</v>
      </c>
      <c r="D2" s="3" t="s">
        <v>0</v>
      </c>
      <c r="E2" s="3" t="s">
        <v>0</v>
      </c>
      <c r="F2" s="3" t="s">
        <v>0</v>
      </c>
      <c r="G2" s="3" t="s">
        <v>0</v>
      </c>
      <c r="H2" s="3" t="s">
        <v>0</v>
      </c>
      <c r="I2" s="3" t="s">
        <v>0</v>
      </c>
      <c r="J2" s="3" t="s">
        <v>0</v>
      </c>
      <c r="K2" s="3" t="s">
        <v>0</v>
      </c>
      <c r="L2" s="3" t="s">
        <v>0</v>
      </c>
      <c r="M2" s="3" t="s">
        <v>0</v>
      </c>
      <c r="N2" s="2"/>
    </row>
    <row r="3" customFormat="false" ht="18.75" hidden="false" customHeight="true" outlineLevel="0" collapsed="false">
      <c r="A3" s="2"/>
      <c r="B3" s="3" t="s">
        <v>0</v>
      </c>
      <c r="C3" s="3" t="s">
        <v>0</v>
      </c>
      <c r="D3" s="3" t="s">
        <v>0</v>
      </c>
      <c r="E3" s="3" t="s">
        <v>0</v>
      </c>
      <c r="F3" s="3" t="s">
        <v>0</v>
      </c>
      <c r="G3" s="3" t="s">
        <v>0</v>
      </c>
      <c r="H3" s="3" t="s">
        <v>0</v>
      </c>
      <c r="I3" s="3" t="s">
        <v>0</v>
      </c>
      <c r="J3" s="3" t="s">
        <v>0</v>
      </c>
      <c r="K3" s="3" t="s">
        <v>0</v>
      </c>
      <c r="L3" s="3" t="s">
        <v>0</v>
      </c>
      <c r="M3" s="3" t="s">
        <v>0</v>
      </c>
      <c r="N3" s="2"/>
    </row>
    <row r="4" customFormat="false" ht="18.75" hidden="false" customHeight="true" outlineLevel="0" collapsed="false">
      <c r="A4" s="2"/>
      <c r="B4" s="4" t="s">
        <v>1</v>
      </c>
      <c r="C4" s="4" t="s">
        <v>1</v>
      </c>
      <c r="D4" s="4" t="s">
        <v>1</v>
      </c>
      <c r="E4" s="4" t="s">
        <v>1</v>
      </c>
      <c r="F4" s="4" t="s">
        <v>1</v>
      </c>
      <c r="G4" s="4" t="s">
        <v>1</v>
      </c>
      <c r="H4" s="4" t="s">
        <v>1</v>
      </c>
      <c r="I4" s="4" t="s">
        <v>1</v>
      </c>
      <c r="J4" s="4" t="s">
        <v>1</v>
      </c>
      <c r="K4" s="4" t="s">
        <v>1</v>
      </c>
      <c r="L4" s="4" t="s">
        <v>1</v>
      </c>
      <c r="M4" s="4" t="s">
        <v>1</v>
      </c>
      <c r="N4" s="2"/>
    </row>
    <row r="5" customFormat="false" ht="18.75" hidden="false" customHeight="true" outlineLevel="0" collapsed="false">
      <c r="A5" s="2"/>
      <c r="B5" s="2"/>
      <c r="C5" s="2"/>
      <c r="D5" s="2"/>
      <c r="E5" s="2"/>
      <c r="F5" s="2"/>
      <c r="G5" s="2"/>
      <c r="H5" s="2"/>
      <c r="I5" s="2"/>
      <c r="J5" s="2"/>
      <c r="K5" s="2"/>
      <c r="L5" s="2"/>
      <c r="M5" s="2"/>
      <c r="N5" s="2"/>
    </row>
    <row r="6" customFormat="false" ht="18.75" hidden="false" customHeight="true" outlineLevel="0" collapsed="false">
      <c r="A6" s="2"/>
      <c r="B6" s="5" t="s">
        <v>2</v>
      </c>
      <c r="C6" s="5" t="s">
        <v>2</v>
      </c>
      <c r="D6" s="5" t="s">
        <v>2</v>
      </c>
      <c r="E6" s="5" t="s">
        <v>2</v>
      </c>
      <c r="F6" s="5" t="s">
        <v>2</v>
      </c>
      <c r="G6" s="5" t="s">
        <v>2</v>
      </c>
      <c r="H6" s="5" t="s">
        <v>2</v>
      </c>
      <c r="I6" s="5" t="s">
        <v>2</v>
      </c>
      <c r="J6" s="5" t="s">
        <v>2</v>
      </c>
      <c r="K6" s="5" t="s">
        <v>2</v>
      </c>
      <c r="L6" s="5" t="s">
        <v>2</v>
      </c>
      <c r="M6" s="5" t="s">
        <v>2</v>
      </c>
      <c r="N6" s="2"/>
    </row>
    <row r="7" customFormat="false" ht="18.75" hidden="false" customHeight="true" outlineLevel="0" collapsed="false">
      <c r="A7" s="2"/>
      <c r="B7" s="5" t="s">
        <v>2</v>
      </c>
      <c r="C7" s="5" t="s">
        <v>2</v>
      </c>
      <c r="D7" s="5" t="s">
        <v>2</v>
      </c>
      <c r="E7" s="5" t="s">
        <v>2</v>
      </c>
      <c r="F7" s="5" t="s">
        <v>2</v>
      </c>
      <c r="G7" s="5" t="s">
        <v>2</v>
      </c>
      <c r="H7" s="5" t="s">
        <v>2</v>
      </c>
      <c r="I7" s="5" t="s">
        <v>2</v>
      </c>
      <c r="J7" s="5" t="s">
        <v>2</v>
      </c>
      <c r="K7" s="5" t="s">
        <v>2</v>
      </c>
      <c r="L7" s="5" t="s">
        <v>2</v>
      </c>
      <c r="M7" s="5" t="s">
        <v>2</v>
      </c>
      <c r="N7" s="2"/>
    </row>
    <row r="8" customFormat="false" ht="18.75" hidden="false" customHeight="true" outlineLevel="0" collapsed="false">
      <c r="A8" s="2"/>
      <c r="B8" s="5" t="s">
        <v>2</v>
      </c>
      <c r="C8" s="5" t="s">
        <v>2</v>
      </c>
      <c r="D8" s="5" t="s">
        <v>2</v>
      </c>
      <c r="E8" s="5" t="s">
        <v>2</v>
      </c>
      <c r="F8" s="5" t="s">
        <v>2</v>
      </c>
      <c r="G8" s="5" t="s">
        <v>2</v>
      </c>
      <c r="H8" s="5" t="s">
        <v>2</v>
      </c>
      <c r="I8" s="5" t="s">
        <v>2</v>
      </c>
      <c r="J8" s="5" t="s">
        <v>2</v>
      </c>
      <c r="K8" s="5" t="s">
        <v>2</v>
      </c>
      <c r="L8" s="5" t="s">
        <v>2</v>
      </c>
      <c r="M8" s="5" t="s">
        <v>2</v>
      </c>
      <c r="N8" s="2"/>
    </row>
    <row r="9" customFormat="false" ht="18.75" hidden="false" customHeight="true" outlineLevel="0" collapsed="false">
      <c r="A9" s="2"/>
      <c r="B9" s="5" t="s">
        <v>2</v>
      </c>
      <c r="C9" s="5" t="s">
        <v>2</v>
      </c>
      <c r="D9" s="5" t="s">
        <v>2</v>
      </c>
      <c r="E9" s="5" t="s">
        <v>2</v>
      </c>
      <c r="F9" s="5" t="s">
        <v>2</v>
      </c>
      <c r="G9" s="5" t="s">
        <v>2</v>
      </c>
      <c r="H9" s="5" t="s">
        <v>2</v>
      </c>
      <c r="I9" s="5" t="s">
        <v>2</v>
      </c>
      <c r="J9" s="5" t="s">
        <v>2</v>
      </c>
      <c r="K9" s="5" t="s">
        <v>2</v>
      </c>
      <c r="L9" s="5" t="s">
        <v>2</v>
      </c>
      <c r="M9" s="5" t="s">
        <v>2</v>
      </c>
      <c r="N9" s="2"/>
    </row>
    <row r="10" customFormat="false" ht="18.75" hidden="false" customHeight="true" outlineLevel="0" collapsed="false">
      <c r="A10" s="2"/>
      <c r="B10" s="5" t="s">
        <v>2</v>
      </c>
      <c r="C10" s="5" t="s">
        <v>2</v>
      </c>
      <c r="D10" s="5" t="s">
        <v>2</v>
      </c>
      <c r="E10" s="5" t="s">
        <v>2</v>
      </c>
      <c r="F10" s="5" t="s">
        <v>2</v>
      </c>
      <c r="G10" s="5" t="s">
        <v>2</v>
      </c>
      <c r="H10" s="5" t="s">
        <v>2</v>
      </c>
      <c r="I10" s="5" t="s">
        <v>2</v>
      </c>
      <c r="J10" s="5" t="s">
        <v>2</v>
      </c>
      <c r="K10" s="5" t="s">
        <v>2</v>
      </c>
      <c r="L10" s="5" t="s">
        <v>2</v>
      </c>
      <c r="M10" s="5" t="s">
        <v>2</v>
      </c>
      <c r="N10" s="2"/>
    </row>
    <row r="11" customFormat="false" ht="18.75" hidden="false" customHeight="true" outlineLevel="0" collapsed="false">
      <c r="A11" s="2"/>
      <c r="B11" s="2"/>
      <c r="C11" s="2"/>
      <c r="D11" s="2"/>
      <c r="E11" s="2"/>
      <c r="F11" s="2"/>
      <c r="G11" s="2"/>
      <c r="H11" s="2"/>
      <c r="I11" s="2"/>
      <c r="J11" s="2"/>
      <c r="K11" s="2"/>
      <c r="L11" s="2"/>
      <c r="M11" s="2"/>
      <c r="N11" s="2"/>
    </row>
    <row r="12" customFormat="false" ht="18.75" hidden="false" customHeight="true" outlineLevel="0" collapsed="false">
      <c r="A12" s="2"/>
      <c r="B12" s="6" t="s">
        <v>3</v>
      </c>
      <c r="C12" s="6" t="s">
        <v>3</v>
      </c>
      <c r="D12" s="6" t="s">
        <v>3</v>
      </c>
      <c r="E12" s="6" t="s">
        <v>3</v>
      </c>
      <c r="F12" s="6" t="s">
        <v>3</v>
      </c>
      <c r="G12" s="6" t="s">
        <v>3</v>
      </c>
      <c r="H12" s="6" t="s">
        <v>3</v>
      </c>
      <c r="I12" s="6" t="s">
        <v>3</v>
      </c>
      <c r="J12" s="6" t="s">
        <v>3</v>
      </c>
      <c r="K12" s="6" t="s">
        <v>3</v>
      </c>
      <c r="L12" s="6" t="s">
        <v>3</v>
      </c>
      <c r="M12" s="6" t="s">
        <v>3</v>
      </c>
      <c r="N12" s="2"/>
    </row>
    <row r="13" customFormat="false" ht="18.75" hidden="false" customHeight="true" outlineLevel="0" collapsed="false">
      <c r="A13" s="2"/>
      <c r="B13" s="6" t="s">
        <v>3</v>
      </c>
      <c r="C13" s="6" t="s">
        <v>3</v>
      </c>
      <c r="D13" s="6" t="s">
        <v>3</v>
      </c>
      <c r="E13" s="6" t="s">
        <v>3</v>
      </c>
      <c r="F13" s="6" t="s">
        <v>3</v>
      </c>
      <c r="G13" s="6" t="s">
        <v>3</v>
      </c>
      <c r="H13" s="6" t="s">
        <v>3</v>
      </c>
      <c r="I13" s="6" t="s">
        <v>3</v>
      </c>
      <c r="J13" s="6" t="s">
        <v>3</v>
      </c>
      <c r="K13" s="6" t="s">
        <v>3</v>
      </c>
      <c r="L13" s="6" t="s">
        <v>3</v>
      </c>
      <c r="M13" s="6" t="s">
        <v>3</v>
      </c>
      <c r="N13" s="2"/>
    </row>
    <row r="14" customFormat="false" ht="18.75" hidden="false" customHeight="true" outlineLevel="0" collapsed="false">
      <c r="A14" s="2"/>
      <c r="B14" s="7" t="s">
        <v>4</v>
      </c>
      <c r="C14" s="7" t="s">
        <v>4</v>
      </c>
      <c r="D14" s="7" t="s">
        <v>4</v>
      </c>
      <c r="E14" s="7" t="s">
        <v>4</v>
      </c>
      <c r="F14" s="7" t="s">
        <v>4</v>
      </c>
      <c r="G14" s="7" t="s">
        <v>4</v>
      </c>
      <c r="H14" s="7" t="s">
        <v>4</v>
      </c>
      <c r="I14" s="7" t="s">
        <v>4</v>
      </c>
      <c r="J14" s="7" t="s">
        <v>4</v>
      </c>
      <c r="K14" s="7" t="s">
        <v>4</v>
      </c>
      <c r="L14" s="7" t="s">
        <v>4</v>
      </c>
      <c r="M14" s="7" t="s">
        <v>4</v>
      </c>
      <c r="N14" s="2"/>
    </row>
    <row r="15" customFormat="false" ht="18.75" hidden="false" customHeight="true" outlineLevel="0" collapsed="false">
      <c r="A15" s="2"/>
      <c r="B15" s="7" t="s">
        <v>4</v>
      </c>
      <c r="C15" s="7" t="s">
        <v>4</v>
      </c>
      <c r="D15" s="7" t="s">
        <v>4</v>
      </c>
      <c r="E15" s="7" t="s">
        <v>4</v>
      </c>
      <c r="F15" s="7" t="s">
        <v>4</v>
      </c>
      <c r="G15" s="7" t="s">
        <v>4</v>
      </c>
      <c r="H15" s="7" t="s">
        <v>4</v>
      </c>
      <c r="I15" s="7" t="s">
        <v>4</v>
      </c>
      <c r="J15" s="7" t="s">
        <v>4</v>
      </c>
      <c r="K15" s="7" t="s">
        <v>4</v>
      </c>
      <c r="L15" s="7" t="s">
        <v>4</v>
      </c>
      <c r="M15" s="7" t="s">
        <v>4</v>
      </c>
      <c r="N15" s="2"/>
    </row>
    <row r="16" customFormat="false" ht="18.75" hidden="false" customHeight="true" outlineLevel="0" collapsed="false">
      <c r="A16" s="2"/>
      <c r="B16" s="7" t="s">
        <v>4</v>
      </c>
      <c r="C16" s="7" t="s">
        <v>4</v>
      </c>
      <c r="D16" s="7" t="s">
        <v>4</v>
      </c>
      <c r="E16" s="7" t="s">
        <v>4</v>
      </c>
      <c r="F16" s="7" t="s">
        <v>4</v>
      </c>
      <c r="G16" s="7" t="s">
        <v>4</v>
      </c>
      <c r="H16" s="7" t="s">
        <v>4</v>
      </c>
      <c r="I16" s="7" t="s">
        <v>4</v>
      </c>
      <c r="J16" s="7" t="s">
        <v>4</v>
      </c>
      <c r="K16" s="7" t="s">
        <v>4</v>
      </c>
      <c r="L16" s="7" t="s">
        <v>4</v>
      </c>
      <c r="M16" s="7" t="s">
        <v>4</v>
      </c>
      <c r="N16" s="2"/>
    </row>
    <row r="17" customFormat="false" ht="18.75" hidden="false" customHeight="true" outlineLevel="0" collapsed="false">
      <c r="A17" s="2"/>
      <c r="B17" s="7" t="s">
        <v>4</v>
      </c>
      <c r="C17" s="7" t="s">
        <v>4</v>
      </c>
      <c r="D17" s="7" t="s">
        <v>4</v>
      </c>
      <c r="E17" s="7" t="s">
        <v>4</v>
      </c>
      <c r="F17" s="7" t="s">
        <v>4</v>
      </c>
      <c r="G17" s="7" t="s">
        <v>4</v>
      </c>
      <c r="H17" s="7" t="s">
        <v>4</v>
      </c>
      <c r="I17" s="7" t="s">
        <v>4</v>
      </c>
      <c r="J17" s="7" t="s">
        <v>4</v>
      </c>
      <c r="K17" s="7" t="s">
        <v>4</v>
      </c>
      <c r="L17" s="7" t="s">
        <v>4</v>
      </c>
      <c r="M17" s="7" t="s">
        <v>4</v>
      </c>
      <c r="N17" s="2"/>
    </row>
    <row r="18" customFormat="false" ht="18.75" hidden="false" customHeight="true" outlineLevel="0" collapsed="false">
      <c r="A18" s="2"/>
      <c r="B18" s="2"/>
      <c r="C18" s="2"/>
      <c r="D18" s="2"/>
      <c r="E18" s="2"/>
      <c r="F18" s="2"/>
      <c r="G18" s="2"/>
      <c r="H18" s="2"/>
      <c r="I18" s="2"/>
      <c r="J18" s="2"/>
      <c r="K18" s="2"/>
      <c r="L18" s="2"/>
      <c r="M18" s="2"/>
      <c r="N18" s="2"/>
    </row>
    <row r="19" customFormat="false" ht="18.75" hidden="false" customHeight="true" outlineLevel="0" collapsed="false">
      <c r="A19" s="2"/>
      <c r="B19" s="6" t="s">
        <v>5</v>
      </c>
      <c r="C19" s="6" t="s">
        <v>5</v>
      </c>
      <c r="D19" s="6" t="s">
        <v>5</v>
      </c>
      <c r="E19" s="6" t="s">
        <v>5</v>
      </c>
      <c r="F19" s="6" t="s">
        <v>5</v>
      </c>
      <c r="G19" s="6" t="s">
        <v>5</v>
      </c>
      <c r="H19" s="6" t="s">
        <v>5</v>
      </c>
      <c r="I19" s="6" t="s">
        <v>5</v>
      </c>
      <c r="J19" s="6" t="s">
        <v>5</v>
      </c>
      <c r="K19" s="6" t="s">
        <v>5</v>
      </c>
      <c r="L19" s="6" t="s">
        <v>5</v>
      </c>
      <c r="M19" s="6" t="s">
        <v>5</v>
      </c>
      <c r="N19" s="2"/>
    </row>
    <row r="20" customFormat="false" ht="18.75" hidden="false" customHeight="true" outlineLevel="0" collapsed="false">
      <c r="A20" s="2"/>
      <c r="B20" s="6" t="s">
        <v>5</v>
      </c>
      <c r="C20" s="6" t="s">
        <v>5</v>
      </c>
      <c r="D20" s="6" t="s">
        <v>5</v>
      </c>
      <c r="E20" s="6" t="s">
        <v>5</v>
      </c>
      <c r="F20" s="6" t="s">
        <v>5</v>
      </c>
      <c r="G20" s="6" t="s">
        <v>5</v>
      </c>
      <c r="H20" s="6" t="s">
        <v>5</v>
      </c>
      <c r="I20" s="6" t="s">
        <v>5</v>
      </c>
      <c r="J20" s="6" t="s">
        <v>5</v>
      </c>
      <c r="K20" s="6" t="s">
        <v>5</v>
      </c>
      <c r="L20" s="6" t="s">
        <v>5</v>
      </c>
      <c r="M20" s="6" t="s">
        <v>5</v>
      </c>
      <c r="N20" s="2"/>
    </row>
    <row r="21" customFormat="false" ht="18.75" hidden="false" customHeight="true" outlineLevel="0" collapsed="false">
      <c r="A21" s="2"/>
      <c r="B21" s="7" t="s">
        <v>6</v>
      </c>
      <c r="C21" s="7" t="s">
        <v>6</v>
      </c>
      <c r="D21" s="7" t="s">
        <v>6</v>
      </c>
      <c r="E21" s="7" t="s">
        <v>6</v>
      </c>
      <c r="F21" s="7" t="s">
        <v>6</v>
      </c>
      <c r="G21" s="7" t="s">
        <v>6</v>
      </c>
      <c r="H21" s="7" t="s">
        <v>6</v>
      </c>
      <c r="I21" s="7" t="s">
        <v>6</v>
      </c>
      <c r="J21" s="7" t="s">
        <v>6</v>
      </c>
      <c r="K21" s="7" t="s">
        <v>6</v>
      </c>
      <c r="L21" s="7" t="s">
        <v>6</v>
      </c>
      <c r="M21" s="7" t="s">
        <v>6</v>
      </c>
      <c r="N21" s="2"/>
    </row>
    <row r="22" customFormat="false" ht="18.75" hidden="false" customHeight="true" outlineLevel="0" collapsed="false">
      <c r="A22" s="2"/>
      <c r="B22" s="7" t="s">
        <v>6</v>
      </c>
      <c r="C22" s="7" t="s">
        <v>6</v>
      </c>
      <c r="D22" s="7" t="s">
        <v>6</v>
      </c>
      <c r="E22" s="7" t="s">
        <v>6</v>
      </c>
      <c r="F22" s="7" t="s">
        <v>6</v>
      </c>
      <c r="G22" s="7" t="s">
        <v>6</v>
      </c>
      <c r="H22" s="7" t="s">
        <v>6</v>
      </c>
      <c r="I22" s="7" t="s">
        <v>6</v>
      </c>
      <c r="J22" s="7" t="s">
        <v>6</v>
      </c>
      <c r="K22" s="7" t="s">
        <v>6</v>
      </c>
      <c r="L22" s="7" t="s">
        <v>6</v>
      </c>
      <c r="M22" s="7" t="s">
        <v>6</v>
      </c>
      <c r="N22" s="2"/>
    </row>
    <row r="23" customFormat="false" ht="18.75" hidden="false" customHeight="true" outlineLevel="0" collapsed="false">
      <c r="A23" s="2"/>
      <c r="B23" s="7" t="s">
        <v>6</v>
      </c>
      <c r="C23" s="7" t="s">
        <v>6</v>
      </c>
      <c r="D23" s="7" t="s">
        <v>6</v>
      </c>
      <c r="E23" s="7" t="s">
        <v>6</v>
      </c>
      <c r="F23" s="7" t="s">
        <v>6</v>
      </c>
      <c r="G23" s="7" t="s">
        <v>6</v>
      </c>
      <c r="H23" s="7" t="s">
        <v>6</v>
      </c>
      <c r="I23" s="7" t="s">
        <v>6</v>
      </c>
      <c r="J23" s="7" t="s">
        <v>6</v>
      </c>
      <c r="K23" s="7" t="s">
        <v>6</v>
      </c>
      <c r="L23" s="7" t="s">
        <v>6</v>
      </c>
      <c r="M23" s="7" t="s">
        <v>6</v>
      </c>
      <c r="N23" s="2"/>
    </row>
    <row r="24" customFormat="false" ht="18.75" hidden="false" customHeight="true" outlineLevel="0" collapsed="false">
      <c r="A24" s="2"/>
      <c r="B24" s="7" t="s">
        <v>6</v>
      </c>
      <c r="C24" s="7" t="s">
        <v>6</v>
      </c>
      <c r="D24" s="7" t="s">
        <v>6</v>
      </c>
      <c r="E24" s="7" t="s">
        <v>6</v>
      </c>
      <c r="F24" s="7" t="s">
        <v>6</v>
      </c>
      <c r="G24" s="7" t="s">
        <v>6</v>
      </c>
      <c r="H24" s="7" t="s">
        <v>6</v>
      </c>
      <c r="I24" s="7" t="s">
        <v>6</v>
      </c>
      <c r="J24" s="7" t="s">
        <v>6</v>
      </c>
      <c r="K24" s="7" t="s">
        <v>6</v>
      </c>
      <c r="L24" s="7" t="s">
        <v>6</v>
      </c>
      <c r="M24" s="7" t="s">
        <v>6</v>
      </c>
      <c r="N24" s="2"/>
    </row>
    <row r="25" customFormat="false" ht="18.75" hidden="false" customHeight="true" outlineLevel="0" collapsed="false">
      <c r="A25" s="2"/>
      <c r="B25" s="2"/>
      <c r="C25" s="2"/>
      <c r="D25" s="2"/>
      <c r="E25" s="2"/>
      <c r="F25" s="2"/>
      <c r="G25" s="2"/>
      <c r="H25" s="2"/>
      <c r="I25" s="2"/>
      <c r="J25" s="2"/>
      <c r="K25" s="2"/>
      <c r="L25" s="2"/>
      <c r="M25" s="2"/>
      <c r="N25" s="2"/>
    </row>
    <row r="26" customFormat="false" ht="18.75" hidden="false" customHeight="true" outlineLevel="0" collapsed="false">
      <c r="A26" s="2"/>
      <c r="B26" s="6" t="s">
        <v>7</v>
      </c>
      <c r="C26" s="6" t="s">
        <v>7</v>
      </c>
      <c r="D26" s="6" t="s">
        <v>7</v>
      </c>
      <c r="E26" s="6" t="s">
        <v>7</v>
      </c>
      <c r="F26" s="6" t="s">
        <v>7</v>
      </c>
      <c r="G26" s="6" t="s">
        <v>7</v>
      </c>
      <c r="H26" s="6" t="s">
        <v>7</v>
      </c>
      <c r="I26" s="6" t="s">
        <v>7</v>
      </c>
      <c r="J26" s="6" t="s">
        <v>7</v>
      </c>
      <c r="K26" s="6" t="s">
        <v>7</v>
      </c>
      <c r="L26" s="6" t="s">
        <v>7</v>
      </c>
      <c r="M26" s="6" t="s">
        <v>7</v>
      </c>
      <c r="N26" s="2"/>
    </row>
    <row r="27" customFormat="false" ht="18.75" hidden="false" customHeight="true" outlineLevel="0" collapsed="false">
      <c r="A27" s="2"/>
      <c r="B27" s="6" t="s">
        <v>7</v>
      </c>
      <c r="C27" s="6" t="s">
        <v>7</v>
      </c>
      <c r="D27" s="6" t="s">
        <v>7</v>
      </c>
      <c r="E27" s="6" t="s">
        <v>7</v>
      </c>
      <c r="F27" s="6" t="s">
        <v>7</v>
      </c>
      <c r="G27" s="6" t="s">
        <v>7</v>
      </c>
      <c r="H27" s="6" t="s">
        <v>7</v>
      </c>
      <c r="I27" s="6" t="s">
        <v>7</v>
      </c>
      <c r="J27" s="6" t="s">
        <v>7</v>
      </c>
      <c r="K27" s="6" t="s">
        <v>7</v>
      </c>
      <c r="L27" s="6" t="s">
        <v>7</v>
      </c>
      <c r="M27" s="6" t="s">
        <v>7</v>
      </c>
      <c r="N27" s="2"/>
    </row>
    <row r="28" customFormat="false" ht="18.75" hidden="false" customHeight="true" outlineLevel="0" collapsed="false">
      <c r="A28" s="2"/>
      <c r="B28" s="7" t="s">
        <v>8</v>
      </c>
      <c r="C28" s="7" t="s">
        <v>8</v>
      </c>
      <c r="D28" s="7" t="s">
        <v>8</v>
      </c>
      <c r="E28" s="7" t="s">
        <v>8</v>
      </c>
      <c r="F28" s="7" t="s">
        <v>8</v>
      </c>
      <c r="G28" s="7" t="s">
        <v>8</v>
      </c>
      <c r="H28" s="7" t="s">
        <v>8</v>
      </c>
      <c r="I28" s="7" t="s">
        <v>8</v>
      </c>
      <c r="J28" s="7" t="s">
        <v>8</v>
      </c>
      <c r="K28" s="7" t="s">
        <v>8</v>
      </c>
      <c r="L28" s="7" t="s">
        <v>8</v>
      </c>
      <c r="M28" s="7" t="s">
        <v>8</v>
      </c>
      <c r="N28" s="2"/>
    </row>
    <row r="29" customFormat="false" ht="18.75" hidden="false" customHeight="true" outlineLevel="0" collapsed="false">
      <c r="A29" s="2"/>
      <c r="B29" s="7" t="s">
        <v>8</v>
      </c>
      <c r="C29" s="7" t="s">
        <v>8</v>
      </c>
      <c r="D29" s="7" t="s">
        <v>8</v>
      </c>
      <c r="E29" s="7" t="s">
        <v>8</v>
      </c>
      <c r="F29" s="7" t="s">
        <v>8</v>
      </c>
      <c r="G29" s="7" t="s">
        <v>8</v>
      </c>
      <c r="H29" s="7" t="s">
        <v>8</v>
      </c>
      <c r="I29" s="7" t="s">
        <v>8</v>
      </c>
      <c r="J29" s="7" t="s">
        <v>8</v>
      </c>
      <c r="K29" s="7" t="s">
        <v>8</v>
      </c>
      <c r="L29" s="7" t="s">
        <v>8</v>
      </c>
      <c r="M29" s="7" t="s">
        <v>8</v>
      </c>
      <c r="N29" s="2"/>
    </row>
    <row r="30" customFormat="false" ht="18.75" hidden="false" customHeight="true" outlineLevel="0" collapsed="false">
      <c r="A30" s="2"/>
      <c r="B30" s="7" t="s">
        <v>8</v>
      </c>
      <c r="C30" s="7" t="s">
        <v>8</v>
      </c>
      <c r="D30" s="7" t="s">
        <v>8</v>
      </c>
      <c r="E30" s="7" t="s">
        <v>8</v>
      </c>
      <c r="F30" s="7" t="s">
        <v>8</v>
      </c>
      <c r="G30" s="7" t="s">
        <v>8</v>
      </c>
      <c r="H30" s="7" t="s">
        <v>8</v>
      </c>
      <c r="I30" s="7" t="s">
        <v>8</v>
      </c>
      <c r="J30" s="7" t="s">
        <v>8</v>
      </c>
      <c r="K30" s="7" t="s">
        <v>8</v>
      </c>
      <c r="L30" s="7" t="s">
        <v>8</v>
      </c>
      <c r="M30" s="7" t="s">
        <v>8</v>
      </c>
      <c r="N30" s="2"/>
    </row>
    <row r="31" customFormat="false" ht="18.75" hidden="false" customHeight="true" outlineLevel="0" collapsed="false">
      <c r="A31" s="2"/>
      <c r="B31" s="7" t="s">
        <v>8</v>
      </c>
      <c r="C31" s="7" t="s">
        <v>8</v>
      </c>
      <c r="D31" s="7" t="s">
        <v>8</v>
      </c>
      <c r="E31" s="7" t="s">
        <v>8</v>
      </c>
      <c r="F31" s="7" t="s">
        <v>8</v>
      </c>
      <c r="G31" s="7" t="s">
        <v>8</v>
      </c>
      <c r="H31" s="7" t="s">
        <v>8</v>
      </c>
      <c r="I31" s="7" t="s">
        <v>8</v>
      </c>
      <c r="J31" s="7" t="s">
        <v>8</v>
      </c>
      <c r="K31" s="7" t="s">
        <v>8</v>
      </c>
      <c r="L31" s="7" t="s">
        <v>8</v>
      </c>
      <c r="M31" s="7" t="s">
        <v>8</v>
      </c>
      <c r="N31" s="2"/>
    </row>
    <row r="32" customFormat="false" ht="18.75" hidden="false" customHeight="true" outlineLevel="0" collapsed="false">
      <c r="A32" s="2"/>
      <c r="B32" s="2"/>
      <c r="C32" s="2"/>
      <c r="D32" s="2"/>
      <c r="E32" s="2"/>
      <c r="F32" s="2"/>
      <c r="G32" s="2"/>
      <c r="H32" s="2"/>
      <c r="I32" s="2"/>
      <c r="J32" s="2"/>
      <c r="K32" s="2"/>
      <c r="L32" s="2"/>
      <c r="M32" s="2"/>
      <c r="N32" s="2"/>
    </row>
    <row r="33" customFormat="false" ht="18.75" hidden="false" customHeight="true" outlineLevel="0" collapsed="false">
      <c r="A33" s="2"/>
      <c r="B33" s="2"/>
      <c r="C33" s="2"/>
      <c r="D33" s="2"/>
      <c r="E33" s="2"/>
      <c r="F33" s="2"/>
      <c r="G33" s="2"/>
      <c r="H33" s="2"/>
      <c r="I33" s="2"/>
      <c r="J33" s="2"/>
      <c r="K33" s="2"/>
      <c r="L33" s="2"/>
      <c r="M33" s="2"/>
      <c r="N33" s="2"/>
    </row>
    <row r="34" customFormat="false" ht="18.75" hidden="false" customHeight="true" outlineLevel="0" collapsed="false">
      <c r="A34" s="2"/>
      <c r="B34" s="8" t="s">
        <v>9</v>
      </c>
      <c r="C34" s="8" t="s">
        <v>9</v>
      </c>
      <c r="D34" s="8" t="s">
        <v>9</v>
      </c>
      <c r="E34" s="8" t="s">
        <v>9</v>
      </c>
      <c r="F34" s="8" t="s">
        <v>9</v>
      </c>
      <c r="G34" s="8" t="s">
        <v>9</v>
      </c>
      <c r="H34" s="8" t="s">
        <v>9</v>
      </c>
      <c r="I34" s="8" t="s">
        <v>9</v>
      </c>
      <c r="J34" s="8" t="s">
        <v>9</v>
      </c>
      <c r="K34" s="8" t="s">
        <v>9</v>
      </c>
      <c r="L34" s="8" t="s">
        <v>9</v>
      </c>
      <c r="M34" s="8" t="s">
        <v>9</v>
      </c>
      <c r="N34" s="2"/>
    </row>
    <row r="35" customFormat="false" ht="18.75" hidden="false" customHeight="true" outlineLevel="0" collapsed="false">
      <c r="A35" s="2"/>
      <c r="B35" s="8" t="s">
        <v>9</v>
      </c>
      <c r="C35" s="8" t="s">
        <v>9</v>
      </c>
      <c r="D35" s="8" t="s">
        <v>9</v>
      </c>
      <c r="E35" s="8" t="s">
        <v>9</v>
      </c>
      <c r="F35" s="8" t="s">
        <v>9</v>
      </c>
      <c r="G35" s="8" t="s">
        <v>9</v>
      </c>
      <c r="H35" s="8" t="s">
        <v>9</v>
      </c>
      <c r="I35" s="8" t="s">
        <v>9</v>
      </c>
      <c r="J35" s="8" t="s">
        <v>9</v>
      </c>
      <c r="K35" s="8" t="s">
        <v>9</v>
      </c>
      <c r="L35" s="8" t="s">
        <v>9</v>
      </c>
      <c r="M35" s="8" t="s">
        <v>9</v>
      </c>
      <c r="N35" s="2"/>
    </row>
    <row r="36" customFormat="false" ht="18.75" hidden="false" customHeight="true" outlineLevel="0" collapsed="false">
      <c r="A36" s="2"/>
      <c r="B36" s="8" t="s">
        <v>9</v>
      </c>
      <c r="C36" s="8" t="s">
        <v>9</v>
      </c>
      <c r="D36" s="8" t="s">
        <v>9</v>
      </c>
      <c r="E36" s="8" t="s">
        <v>9</v>
      </c>
      <c r="F36" s="8" t="s">
        <v>9</v>
      </c>
      <c r="G36" s="8" t="s">
        <v>9</v>
      </c>
      <c r="H36" s="8" t="s">
        <v>9</v>
      </c>
      <c r="I36" s="8" t="s">
        <v>9</v>
      </c>
      <c r="J36" s="8" t="s">
        <v>9</v>
      </c>
      <c r="K36" s="8" t="s">
        <v>9</v>
      </c>
      <c r="L36" s="8" t="s">
        <v>9</v>
      </c>
      <c r="M36" s="8" t="s">
        <v>9</v>
      </c>
      <c r="N36" s="2"/>
    </row>
    <row r="37" customFormat="false" ht="18.75" hidden="false" customHeight="true" outlineLevel="0" collapsed="false">
      <c r="A37" s="2"/>
      <c r="B37" s="2"/>
      <c r="C37" s="2"/>
      <c r="D37" s="2"/>
      <c r="E37" s="2"/>
      <c r="F37" s="2"/>
      <c r="G37" s="2"/>
      <c r="H37" s="2"/>
      <c r="I37" s="2"/>
      <c r="J37" s="2"/>
      <c r="K37" s="2"/>
      <c r="L37" s="2"/>
      <c r="M37" s="2"/>
      <c r="N37" s="2"/>
    </row>
    <row r="38" customFormat="false" ht="18.75" hidden="false" customHeight="true" outlineLevel="0" collapsed="false">
      <c r="A38" s="2"/>
      <c r="B38" s="2"/>
      <c r="C38" s="2"/>
      <c r="D38" s="2"/>
      <c r="E38" s="2"/>
      <c r="F38" s="2"/>
      <c r="G38" s="2"/>
      <c r="H38" s="2"/>
      <c r="I38" s="2"/>
      <c r="J38" s="2"/>
      <c r="K38" s="2"/>
      <c r="L38" s="2"/>
      <c r="M38" s="2"/>
      <c r="N38" s="2"/>
    </row>
  </sheetData>
  <mergeCells count="10">
    <mergeCell ref="B2:M3"/>
    <mergeCell ref="B4:M4"/>
    <mergeCell ref="B6:M10"/>
    <mergeCell ref="B12:M13"/>
    <mergeCell ref="B14:M17"/>
    <mergeCell ref="B19:M20"/>
    <mergeCell ref="B21:M24"/>
    <mergeCell ref="B26:M27"/>
    <mergeCell ref="B28:M31"/>
    <mergeCell ref="B34:M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R15" activeCellId="0" sqref="R15"/>
    </sheetView>
  </sheetViews>
  <sheetFormatPr defaultColWidth="8.6796875" defaultRowHeight="15" customHeight="false" zeroHeight="false" outlineLevelRow="0" outlineLevelCol="0"/>
  <cols>
    <col collapsed="false" customWidth="true" hidden="false" outlineLevel="0" max="14" min="1" style="1" width="10"/>
  </cols>
  <sheetData>
    <row r="1" customFormat="false" ht="18.75" hidden="false" customHeight="true" outlineLevel="0" collapsed="false">
      <c r="A1" s="2"/>
      <c r="B1" s="2"/>
      <c r="C1" s="2"/>
      <c r="D1" s="2"/>
      <c r="E1" s="2"/>
      <c r="F1" s="2"/>
      <c r="G1" s="2"/>
      <c r="H1" s="2"/>
      <c r="I1" s="2"/>
      <c r="J1" s="2"/>
      <c r="K1" s="2"/>
      <c r="L1" s="2"/>
      <c r="M1" s="2"/>
      <c r="N1" s="2"/>
    </row>
    <row r="2" customFormat="false" ht="18.75" hidden="false" customHeight="true" outlineLevel="0" collapsed="false">
      <c r="A2" s="2"/>
      <c r="B2" s="3" t="s">
        <v>10</v>
      </c>
      <c r="C2" s="3" t="s">
        <v>10</v>
      </c>
      <c r="D2" s="3" t="s">
        <v>10</v>
      </c>
      <c r="E2" s="3" t="s">
        <v>10</v>
      </c>
      <c r="F2" s="3" t="s">
        <v>10</v>
      </c>
      <c r="G2" s="3" t="s">
        <v>10</v>
      </c>
      <c r="H2" s="3" t="s">
        <v>10</v>
      </c>
      <c r="I2" s="3" t="s">
        <v>10</v>
      </c>
      <c r="J2" s="3" t="s">
        <v>10</v>
      </c>
      <c r="K2" s="3" t="s">
        <v>10</v>
      </c>
      <c r="L2" s="3" t="s">
        <v>10</v>
      </c>
      <c r="M2" s="3" t="s">
        <v>10</v>
      </c>
      <c r="N2" s="2"/>
    </row>
    <row r="3" customFormat="false" ht="18.75" hidden="false" customHeight="true" outlineLevel="0" collapsed="false">
      <c r="A3" s="2"/>
      <c r="B3" s="3" t="s">
        <v>10</v>
      </c>
      <c r="C3" s="3" t="s">
        <v>10</v>
      </c>
      <c r="D3" s="3" t="s">
        <v>10</v>
      </c>
      <c r="E3" s="3" t="s">
        <v>10</v>
      </c>
      <c r="F3" s="3" t="s">
        <v>10</v>
      </c>
      <c r="G3" s="3" t="s">
        <v>10</v>
      </c>
      <c r="H3" s="3" t="s">
        <v>10</v>
      </c>
      <c r="I3" s="3" t="s">
        <v>10</v>
      </c>
      <c r="J3" s="3" t="s">
        <v>10</v>
      </c>
      <c r="K3" s="3" t="s">
        <v>10</v>
      </c>
      <c r="L3" s="3" t="s">
        <v>10</v>
      </c>
      <c r="M3" s="3" t="s">
        <v>10</v>
      </c>
      <c r="N3" s="2"/>
    </row>
    <row r="4" customFormat="false" ht="18.75" hidden="false" customHeight="true" outlineLevel="0" collapsed="false">
      <c r="A4" s="2"/>
      <c r="B4" s="4" t="s">
        <v>11</v>
      </c>
      <c r="C4" s="4" t="s">
        <v>11</v>
      </c>
      <c r="D4" s="4" t="s">
        <v>11</v>
      </c>
      <c r="E4" s="4" t="s">
        <v>11</v>
      </c>
      <c r="F4" s="4" t="s">
        <v>11</v>
      </c>
      <c r="G4" s="4" t="s">
        <v>11</v>
      </c>
      <c r="H4" s="4" t="s">
        <v>11</v>
      </c>
      <c r="I4" s="4" t="s">
        <v>11</v>
      </c>
      <c r="J4" s="4" t="s">
        <v>11</v>
      </c>
      <c r="K4" s="4" t="s">
        <v>11</v>
      </c>
      <c r="L4" s="4" t="s">
        <v>11</v>
      </c>
      <c r="M4" s="4" t="s">
        <v>11</v>
      </c>
      <c r="N4" s="2"/>
    </row>
    <row r="5" customFormat="false" ht="18.75" hidden="false" customHeight="true" outlineLevel="0" collapsed="false">
      <c r="A5" s="2"/>
      <c r="B5" s="2"/>
      <c r="C5" s="2"/>
      <c r="D5" s="2"/>
      <c r="E5" s="2"/>
      <c r="F5" s="2"/>
      <c r="G5" s="2"/>
      <c r="H5" s="2"/>
      <c r="I5" s="2"/>
      <c r="J5" s="2"/>
      <c r="K5" s="2"/>
      <c r="L5" s="2"/>
      <c r="M5" s="2"/>
      <c r="N5" s="2"/>
    </row>
    <row r="6" customFormat="false" ht="18.75" hidden="false" customHeight="true" outlineLevel="0" collapsed="false">
      <c r="A6" s="2"/>
      <c r="B6" s="2"/>
      <c r="C6" s="2"/>
      <c r="D6" s="2"/>
      <c r="E6" s="2"/>
      <c r="F6" s="2"/>
      <c r="G6" s="2"/>
      <c r="H6" s="2"/>
      <c r="I6" s="2"/>
      <c r="J6" s="2"/>
      <c r="K6" s="2"/>
      <c r="L6" s="2"/>
      <c r="M6" s="2"/>
      <c r="N6" s="2"/>
    </row>
    <row r="7" customFormat="false" ht="18.75" hidden="false" customHeight="true" outlineLevel="0" collapsed="false">
      <c r="A7" s="2"/>
      <c r="B7" s="2"/>
      <c r="C7" s="2"/>
      <c r="D7" s="2"/>
      <c r="E7" s="2"/>
      <c r="F7" s="2"/>
      <c r="G7" s="2"/>
      <c r="H7" s="2"/>
      <c r="I7" s="2"/>
      <c r="J7" s="2"/>
      <c r="K7" s="2"/>
      <c r="L7" s="2"/>
      <c r="M7" s="2"/>
      <c r="N7" s="2"/>
    </row>
    <row r="8" customFormat="false" ht="18.75" hidden="false" customHeight="true" outlineLevel="0" collapsed="false">
      <c r="A8" s="2"/>
      <c r="B8" s="2"/>
      <c r="C8" s="2"/>
      <c r="D8" s="2"/>
      <c r="E8" s="2"/>
      <c r="F8" s="2"/>
      <c r="G8" s="2"/>
      <c r="H8" s="2"/>
      <c r="I8" s="2"/>
      <c r="J8" s="2"/>
      <c r="K8" s="2"/>
      <c r="L8" s="2"/>
      <c r="M8" s="2"/>
      <c r="N8" s="2"/>
    </row>
    <row r="9" customFormat="false" ht="18.75" hidden="false" customHeight="true" outlineLevel="0" collapsed="false">
      <c r="A9" s="2"/>
      <c r="B9" s="2"/>
      <c r="C9" s="2"/>
      <c r="D9" s="2"/>
      <c r="E9" s="2"/>
      <c r="F9" s="2"/>
      <c r="G9" s="2"/>
      <c r="H9" s="2"/>
      <c r="I9" s="2"/>
      <c r="J9" s="2"/>
      <c r="K9" s="2"/>
      <c r="L9" s="2"/>
      <c r="M9" s="2"/>
      <c r="N9" s="2"/>
    </row>
    <row r="10" customFormat="false" ht="18.75" hidden="false" customHeight="true" outlineLevel="0" collapsed="false">
      <c r="A10" s="2"/>
      <c r="B10" s="2"/>
      <c r="C10" s="2"/>
      <c r="D10" s="2"/>
      <c r="E10" s="2"/>
      <c r="F10" s="2"/>
      <c r="G10" s="2"/>
      <c r="H10" s="2"/>
      <c r="I10" s="2"/>
      <c r="J10" s="2"/>
      <c r="K10" s="2"/>
      <c r="L10" s="2"/>
      <c r="M10" s="2"/>
      <c r="N10" s="2"/>
    </row>
    <row r="11" customFormat="false" ht="18.75" hidden="false" customHeight="true" outlineLevel="0" collapsed="false">
      <c r="A11" s="2"/>
      <c r="B11" s="2"/>
      <c r="C11" s="2"/>
      <c r="D11" s="2"/>
      <c r="E11" s="2"/>
      <c r="F11" s="2"/>
      <c r="G11" s="2"/>
      <c r="H11" s="2"/>
      <c r="I11" s="2"/>
      <c r="J11" s="2"/>
      <c r="K11" s="2"/>
      <c r="L11" s="2"/>
      <c r="M11" s="2"/>
      <c r="N11" s="2"/>
    </row>
    <row r="12" customFormat="false" ht="18.75" hidden="false" customHeight="true" outlineLevel="0" collapsed="false">
      <c r="A12" s="2"/>
      <c r="B12" s="2"/>
      <c r="C12" s="2"/>
      <c r="D12" s="2"/>
      <c r="E12" s="2"/>
      <c r="F12" s="2"/>
      <c r="G12" s="2"/>
      <c r="H12" s="2"/>
      <c r="I12" s="2"/>
      <c r="J12" s="2"/>
      <c r="K12" s="2"/>
      <c r="L12" s="2"/>
      <c r="M12" s="2"/>
      <c r="N12" s="2"/>
    </row>
    <row r="13" customFormat="false" ht="18.75" hidden="false" customHeight="true" outlineLevel="0" collapsed="false">
      <c r="A13" s="2"/>
      <c r="B13" s="2"/>
      <c r="C13" s="2"/>
      <c r="D13" s="2"/>
      <c r="E13" s="2"/>
      <c r="F13" s="2"/>
      <c r="G13" s="2"/>
      <c r="H13" s="2"/>
      <c r="I13" s="2"/>
      <c r="J13" s="2"/>
      <c r="K13" s="2"/>
      <c r="L13" s="2"/>
      <c r="M13" s="2"/>
      <c r="N13" s="2"/>
    </row>
    <row r="14" customFormat="false" ht="18.75" hidden="false" customHeight="true" outlineLevel="0" collapsed="false">
      <c r="A14" s="2"/>
      <c r="B14" s="2"/>
      <c r="C14" s="2"/>
      <c r="D14" s="2"/>
      <c r="E14" s="2"/>
      <c r="F14" s="2"/>
      <c r="G14" s="2"/>
      <c r="H14" s="2"/>
      <c r="I14" s="2"/>
      <c r="J14" s="2"/>
      <c r="K14" s="2"/>
      <c r="L14" s="2"/>
      <c r="M14" s="2"/>
      <c r="N14" s="2"/>
    </row>
    <row r="15" customFormat="false" ht="18.75" hidden="false" customHeight="true" outlineLevel="0" collapsed="false">
      <c r="A15" s="2"/>
      <c r="B15" s="2"/>
      <c r="C15" s="2"/>
      <c r="D15" s="2"/>
      <c r="E15" s="2"/>
      <c r="F15" s="2"/>
      <c r="G15" s="2"/>
      <c r="H15" s="2"/>
      <c r="I15" s="2"/>
      <c r="J15" s="2"/>
      <c r="K15" s="2"/>
      <c r="L15" s="2"/>
      <c r="M15" s="2"/>
      <c r="N15" s="2"/>
    </row>
    <row r="16" customFormat="false" ht="18.75" hidden="false" customHeight="true" outlineLevel="0" collapsed="false">
      <c r="A16" s="2"/>
      <c r="B16" s="2"/>
      <c r="C16" s="2"/>
      <c r="D16" s="2"/>
      <c r="E16" s="2"/>
      <c r="F16" s="2"/>
      <c r="G16" s="2"/>
      <c r="H16" s="2"/>
      <c r="I16" s="2"/>
      <c r="J16" s="2"/>
      <c r="K16" s="2"/>
      <c r="L16" s="2"/>
      <c r="M16" s="2"/>
      <c r="N16" s="2"/>
    </row>
    <row r="17" customFormat="false" ht="18.75" hidden="false" customHeight="true" outlineLevel="0" collapsed="false">
      <c r="A17" s="2"/>
      <c r="B17" s="2"/>
      <c r="C17" s="2"/>
      <c r="D17" s="2"/>
      <c r="E17" s="2"/>
      <c r="F17" s="2"/>
      <c r="G17" s="2"/>
      <c r="H17" s="2"/>
      <c r="I17" s="2"/>
      <c r="J17" s="2"/>
      <c r="K17" s="2"/>
      <c r="L17" s="2"/>
      <c r="M17" s="2"/>
      <c r="N17" s="2"/>
    </row>
    <row r="18" customFormat="false" ht="18.75" hidden="false" customHeight="true" outlineLevel="0" collapsed="false">
      <c r="A18" s="2"/>
      <c r="B18" s="2"/>
      <c r="C18" s="2"/>
      <c r="D18" s="2"/>
      <c r="E18" s="2"/>
      <c r="F18" s="2"/>
      <c r="G18" s="2"/>
      <c r="H18" s="2"/>
      <c r="I18" s="2"/>
      <c r="J18" s="2"/>
      <c r="K18" s="2"/>
      <c r="L18" s="2"/>
      <c r="M18" s="2"/>
      <c r="N18" s="2"/>
    </row>
    <row r="19" customFormat="false" ht="18.75" hidden="false" customHeight="true" outlineLevel="0" collapsed="false">
      <c r="A19" s="2"/>
      <c r="B19" s="2"/>
      <c r="C19" s="2"/>
      <c r="D19" s="2"/>
      <c r="E19" s="2"/>
      <c r="F19" s="2"/>
      <c r="G19" s="2"/>
      <c r="H19" s="2"/>
      <c r="I19" s="2"/>
      <c r="J19" s="2"/>
      <c r="K19" s="2"/>
      <c r="L19" s="2"/>
      <c r="M19" s="2"/>
      <c r="N19" s="2"/>
    </row>
    <row r="20" customFormat="false" ht="18.75" hidden="false" customHeight="true" outlineLevel="0" collapsed="false">
      <c r="A20" s="2"/>
      <c r="B20" s="2"/>
      <c r="C20" s="2"/>
      <c r="D20" s="2"/>
      <c r="E20" s="2"/>
      <c r="F20" s="2"/>
      <c r="G20" s="2"/>
      <c r="H20" s="2"/>
      <c r="I20" s="2"/>
      <c r="J20" s="2"/>
      <c r="K20" s="2"/>
      <c r="L20" s="2"/>
      <c r="M20" s="2"/>
      <c r="N20" s="2"/>
    </row>
    <row r="21" customFormat="false" ht="18.75" hidden="false" customHeight="true" outlineLevel="0" collapsed="false">
      <c r="A21" s="2"/>
      <c r="B21" s="2"/>
      <c r="C21" s="2"/>
      <c r="D21" s="2"/>
      <c r="E21" s="2"/>
      <c r="F21" s="2"/>
      <c r="G21" s="2"/>
      <c r="H21" s="2"/>
      <c r="I21" s="2"/>
      <c r="J21" s="2"/>
      <c r="K21" s="2"/>
      <c r="L21" s="2"/>
      <c r="M21" s="2"/>
      <c r="N21" s="2"/>
    </row>
    <row r="22" customFormat="false" ht="18.75" hidden="false" customHeight="true" outlineLevel="0" collapsed="false">
      <c r="A22" s="2"/>
      <c r="B22" s="2"/>
      <c r="C22" s="2"/>
      <c r="D22" s="2"/>
      <c r="E22" s="2"/>
      <c r="F22" s="2"/>
      <c r="G22" s="2"/>
      <c r="H22" s="2"/>
      <c r="I22" s="2"/>
      <c r="J22" s="2"/>
      <c r="K22" s="2"/>
      <c r="L22" s="2"/>
      <c r="M22" s="2"/>
      <c r="N22" s="2"/>
    </row>
    <row r="23" customFormat="false" ht="18.75" hidden="false" customHeight="true" outlineLevel="0" collapsed="false">
      <c r="A23" s="2"/>
      <c r="B23" s="2"/>
      <c r="C23" s="2"/>
      <c r="D23" s="2"/>
      <c r="E23" s="2"/>
      <c r="F23" s="2"/>
      <c r="G23" s="2"/>
      <c r="H23" s="2"/>
      <c r="I23" s="2"/>
      <c r="J23" s="2"/>
      <c r="K23" s="2"/>
      <c r="L23" s="2"/>
      <c r="M23" s="2"/>
      <c r="N23" s="2"/>
    </row>
    <row r="24" customFormat="false" ht="18.75" hidden="false" customHeight="true" outlineLevel="0" collapsed="false">
      <c r="A24" s="2"/>
      <c r="B24" s="2"/>
      <c r="C24" s="2"/>
      <c r="D24" s="2"/>
      <c r="E24" s="2"/>
      <c r="F24" s="2"/>
      <c r="G24" s="2"/>
      <c r="H24" s="2"/>
      <c r="I24" s="2"/>
      <c r="J24" s="2"/>
      <c r="K24" s="2"/>
      <c r="L24" s="2"/>
      <c r="M24" s="2"/>
      <c r="N24" s="2"/>
    </row>
    <row r="25" customFormat="false" ht="18.75" hidden="false" customHeight="true" outlineLevel="0" collapsed="false">
      <c r="A25" s="2"/>
      <c r="B25" s="2"/>
      <c r="C25" s="2"/>
      <c r="D25" s="2"/>
      <c r="E25" s="2"/>
      <c r="F25" s="2"/>
      <c r="G25" s="2"/>
      <c r="H25" s="2"/>
      <c r="I25" s="2"/>
      <c r="J25" s="2"/>
      <c r="K25" s="2"/>
      <c r="L25" s="2"/>
      <c r="M25" s="2"/>
      <c r="N25" s="2"/>
    </row>
    <row r="26" customFormat="false" ht="18.75" hidden="false" customHeight="true" outlineLevel="0" collapsed="false">
      <c r="A26" s="2"/>
      <c r="B26" s="2"/>
      <c r="C26" s="2"/>
      <c r="D26" s="2"/>
      <c r="E26" s="2"/>
      <c r="F26" s="2"/>
      <c r="G26" s="2"/>
      <c r="H26" s="2"/>
      <c r="I26" s="2"/>
      <c r="J26" s="2"/>
      <c r="K26" s="2"/>
      <c r="L26" s="2"/>
      <c r="M26" s="2"/>
      <c r="N26" s="2"/>
    </row>
    <row r="27" customFormat="false" ht="18.75" hidden="false" customHeight="true" outlineLevel="0" collapsed="false">
      <c r="A27" s="2"/>
      <c r="B27" s="2"/>
      <c r="C27" s="2"/>
      <c r="D27" s="2"/>
      <c r="E27" s="2"/>
      <c r="F27" s="2"/>
      <c r="G27" s="2"/>
      <c r="H27" s="2"/>
      <c r="I27" s="2"/>
      <c r="J27" s="2"/>
      <c r="K27" s="2"/>
      <c r="L27" s="2"/>
      <c r="M27" s="2"/>
      <c r="N27" s="2"/>
    </row>
    <row r="28" customFormat="false" ht="18.75" hidden="false" customHeight="true" outlineLevel="0" collapsed="false">
      <c r="A28" s="2"/>
      <c r="B28" s="2"/>
      <c r="C28" s="2"/>
      <c r="D28" s="2"/>
      <c r="E28" s="2"/>
      <c r="F28" s="2"/>
      <c r="G28" s="2"/>
      <c r="H28" s="2"/>
      <c r="I28" s="2"/>
      <c r="J28" s="2"/>
      <c r="K28" s="2"/>
      <c r="L28" s="2"/>
      <c r="M28" s="2"/>
      <c r="N28" s="2"/>
    </row>
    <row r="29" customFormat="false" ht="18.75" hidden="false" customHeight="true" outlineLevel="0" collapsed="false">
      <c r="A29" s="2"/>
      <c r="B29" s="2"/>
      <c r="C29" s="2"/>
      <c r="D29" s="2"/>
      <c r="E29" s="2"/>
      <c r="F29" s="2"/>
      <c r="G29" s="2"/>
      <c r="H29" s="2"/>
      <c r="I29" s="2"/>
      <c r="J29" s="2"/>
      <c r="K29" s="2"/>
      <c r="L29" s="2"/>
      <c r="M29" s="2"/>
      <c r="N29" s="2"/>
    </row>
    <row r="30" customFormat="false" ht="18.75" hidden="false" customHeight="true" outlineLevel="0" collapsed="false">
      <c r="A30" s="2"/>
      <c r="B30" s="2"/>
      <c r="C30" s="2"/>
      <c r="D30" s="2"/>
      <c r="E30" s="2"/>
      <c r="F30" s="2"/>
      <c r="G30" s="2"/>
      <c r="H30" s="2"/>
      <c r="I30" s="2"/>
      <c r="J30" s="2"/>
      <c r="K30" s="2"/>
      <c r="L30" s="2"/>
      <c r="M30" s="2"/>
      <c r="N30" s="2"/>
    </row>
    <row r="31" customFormat="false" ht="18.75" hidden="false" customHeight="true" outlineLevel="0" collapsed="false">
      <c r="A31" s="2"/>
      <c r="B31" s="2"/>
      <c r="C31" s="2"/>
      <c r="D31" s="2"/>
      <c r="E31" s="2"/>
      <c r="F31" s="2"/>
      <c r="G31" s="2"/>
      <c r="H31" s="2"/>
      <c r="I31" s="2"/>
      <c r="J31" s="2"/>
      <c r="K31" s="2"/>
      <c r="L31" s="2"/>
      <c r="M31" s="2"/>
      <c r="N31" s="2"/>
    </row>
    <row r="32" customFormat="false" ht="18.75" hidden="false" customHeight="true" outlineLevel="0" collapsed="false">
      <c r="A32" s="2"/>
      <c r="B32" s="2"/>
      <c r="C32" s="2"/>
      <c r="D32" s="2"/>
      <c r="E32" s="2"/>
      <c r="F32" s="2"/>
      <c r="G32" s="2"/>
      <c r="H32" s="2"/>
      <c r="I32" s="2"/>
      <c r="J32" s="2"/>
      <c r="K32" s="2"/>
      <c r="L32" s="2"/>
      <c r="M32" s="2"/>
      <c r="N32" s="2"/>
    </row>
    <row r="33" customFormat="false" ht="18.75" hidden="false" customHeight="true" outlineLevel="0" collapsed="false">
      <c r="A33" s="2"/>
      <c r="B33" s="2"/>
      <c r="C33" s="2"/>
      <c r="D33" s="2"/>
      <c r="E33" s="2"/>
      <c r="F33" s="2"/>
      <c r="G33" s="2"/>
      <c r="H33" s="2"/>
      <c r="I33" s="2"/>
      <c r="J33" s="2"/>
      <c r="K33" s="2"/>
      <c r="L33" s="2"/>
      <c r="M33" s="2"/>
      <c r="N33" s="2"/>
    </row>
    <row r="34" customFormat="false" ht="18.75" hidden="false" customHeight="true" outlineLevel="0" collapsed="false">
      <c r="A34" s="2"/>
      <c r="B34" s="2"/>
      <c r="C34" s="2"/>
      <c r="D34" s="2"/>
      <c r="E34" s="2"/>
      <c r="F34" s="2"/>
      <c r="G34" s="2"/>
      <c r="H34" s="2"/>
      <c r="I34" s="2"/>
      <c r="J34" s="2"/>
      <c r="K34" s="2"/>
      <c r="L34" s="2"/>
      <c r="M34" s="2"/>
      <c r="N34" s="2"/>
    </row>
    <row r="35" customFormat="false" ht="18.75" hidden="false" customHeight="true" outlineLevel="0" collapsed="false">
      <c r="A35" s="2"/>
      <c r="B35" s="2"/>
      <c r="C35" s="2"/>
      <c r="D35" s="2"/>
      <c r="E35" s="2"/>
      <c r="F35" s="2"/>
      <c r="G35" s="2"/>
      <c r="H35" s="2"/>
      <c r="I35" s="2"/>
      <c r="J35" s="2"/>
      <c r="K35" s="2"/>
      <c r="L35" s="2"/>
      <c r="M35" s="2"/>
      <c r="N35" s="2"/>
    </row>
    <row r="36" customFormat="false" ht="18.75" hidden="false" customHeight="true" outlineLevel="0" collapsed="false">
      <c r="A36" s="2"/>
      <c r="B36" s="2"/>
      <c r="C36" s="2"/>
      <c r="D36" s="2"/>
      <c r="E36" s="2"/>
      <c r="F36" s="2"/>
      <c r="G36" s="2"/>
      <c r="H36" s="2"/>
      <c r="I36" s="2"/>
      <c r="J36" s="2"/>
      <c r="K36" s="2"/>
      <c r="L36" s="2"/>
      <c r="M36" s="2"/>
      <c r="N36" s="2"/>
    </row>
    <row r="37" customFormat="false" ht="18.75" hidden="false" customHeight="true" outlineLevel="0" collapsed="false">
      <c r="A37" s="2"/>
      <c r="B37" s="2"/>
      <c r="C37" s="2"/>
      <c r="D37" s="2"/>
      <c r="E37" s="2"/>
      <c r="F37" s="2"/>
      <c r="G37" s="2"/>
      <c r="H37" s="2"/>
      <c r="I37" s="2"/>
      <c r="J37" s="2"/>
      <c r="K37" s="2"/>
      <c r="L37" s="2"/>
      <c r="M37" s="2"/>
      <c r="N37" s="2"/>
    </row>
    <row r="38" customFormat="false" ht="18.75" hidden="false" customHeight="true" outlineLevel="0" collapsed="false">
      <c r="A38" s="2"/>
      <c r="B38" s="2"/>
      <c r="C38" s="2"/>
      <c r="D38" s="2"/>
      <c r="E38" s="2"/>
      <c r="F38" s="2"/>
      <c r="G38" s="2"/>
      <c r="H38" s="2"/>
      <c r="I38" s="2"/>
      <c r="J38" s="2"/>
      <c r="K38" s="2"/>
      <c r="L38" s="2"/>
      <c r="M38" s="2"/>
      <c r="N38" s="2"/>
    </row>
    <row r="39" customFormat="false" ht="18.75" hidden="false" customHeight="true" outlineLevel="0" collapsed="false"/>
    <row r="40" customFormat="false" ht="18.75" hidden="false" customHeight="true" outlineLevel="0" collapsed="false"/>
    <row r="41" customFormat="false" ht="18.75" hidden="false" customHeight="true" outlineLevel="0" collapsed="false"/>
    <row r="42" customFormat="false" ht="18.75" hidden="false" customHeight="true" outlineLevel="0" collapsed="false"/>
  </sheetData>
  <mergeCells count="2">
    <mergeCell ref="B2:M3"/>
    <mergeCell ref="B4:M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8" activeCellId="0" sqref="A8"/>
    </sheetView>
  </sheetViews>
  <sheetFormatPr defaultColWidth="8.6796875" defaultRowHeight="15" customHeight="false" zeroHeight="false" outlineLevelRow="0" outlineLevelCol="0"/>
  <cols>
    <col collapsed="false" customWidth="true" hidden="false" outlineLevel="0" max="1" min="1" style="1" width="24.38"/>
    <col collapsed="false" customWidth="true" hidden="false" outlineLevel="0" max="2" min="2" style="1" width="58.98"/>
    <col collapsed="false" customWidth="true" hidden="false" outlineLevel="0" max="3" min="3" style="1" width="54.68"/>
    <col collapsed="false" customWidth="true" hidden="false" outlineLevel="0" max="5" min="4" style="1" width="40"/>
    <col collapsed="false" customWidth="true" hidden="false" outlineLevel="0" max="6" min="6" style="1" width="24.76"/>
  </cols>
  <sheetData>
    <row r="1" customFormat="false" ht="21" hidden="false" customHeight="true" outlineLevel="0" collapsed="false">
      <c r="A1" s="9"/>
      <c r="B1" s="9"/>
      <c r="C1" s="9"/>
      <c r="D1" s="9"/>
      <c r="E1" s="9"/>
      <c r="F1" s="9"/>
    </row>
    <row r="2" customFormat="false" ht="21" hidden="false" customHeight="true" outlineLevel="0" collapsed="false">
      <c r="A2" s="10" t="s">
        <v>12</v>
      </c>
      <c r="B2" s="11"/>
      <c r="C2" s="11"/>
      <c r="D2" s="11"/>
      <c r="E2" s="11"/>
      <c r="F2" s="11"/>
    </row>
    <row r="3" customFormat="false" ht="21" hidden="false" customHeight="true" outlineLevel="0" collapsed="false">
      <c r="A3" s="11" t="s">
        <v>13</v>
      </c>
      <c r="B3" s="11"/>
      <c r="C3" s="11"/>
      <c r="D3" s="11"/>
      <c r="E3" s="11"/>
      <c r="F3" s="11"/>
    </row>
    <row r="4" customFormat="false" ht="21" hidden="false" customHeight="true" outlineLevel="0" collapsed="false">
      <c r="A4" s="9"/>
      <c r="B4" s="9"/>
      <c r="C4" s="9"/>
      <c r="D4" s="9"/>
      <c r="E4" s="9"/>
      <c r="F4" s="9"/>
    </row>
    <row r="5" customFormat="false" ht="26.25" hidden="false" customHeight="true" outlineLevel="0" collapsed="false">
      <c r="A5" s="12" t="s">
        <v>14</v>
      </c>
      <c r="B5" s="12" t="s">
        <v>15</v>
      </c>
      <c r="C5" s="12" t="s">
        <v>16</v>
      </c>
      <c r="D5" s="12" t="s">
        <v>17</v>
      </c>
      <c r="E5" s="12" t="s">
        <v>18</v>
      </c>
      <c r="F5" s="12" t="s">
        <v>19</v>
      </c>
    </row>
    <row r="6" s="15" customFormat="true" ht="73.85" hidden="false" customHeight="true" outlineLevel="0" collapsed="false">
      <c r="A6" s="13" t="s">
        <v>20</v>
      </c>
      <c r="B6" s="13" t="s">
        <v>21</v>
      </c>
      <c r="C6" s="14" t="s">
        <v>22</v>
      </c>
      <c r="D6" s="13" t="s">
        <v>23</v>
      </c>
      <c r="E6" s="13" t="s">
        <v>24</v>
      </c>
      <c r="F6" s="13" t="s">
        <v>25</v>
      </c>
    </row>
    <row r="7" s="15" customFormat="true" ht="82.05" hidden="false" customHeight="true" outlineLevel="0" collapsed="false">
      <c r="A7" s="13" t="s">
        <v>26</v>
      </c>
      <c r="B7" s="13" t="s">
        <v>27</v>
      </c>
      <c r="C7" s="13" t="s">
        <v>28</v>
      </c>
      <c r="D7" s="13" t="s">
        <v>29</v>
      </c>
      <c r="E7" s="13" t="s">
        <v>30</v>
      </c>
      <c r="F7" s="13" t="s">
        <v>25</v>
      </c>
    </row>
    <row r="8" s="15" customFormat="true" ht="70.55" hidden="false" customHeight="true" outlineLevel="0" collapsed="false">
      <c r="A8" s="13" t="s">
        <v>31</v>
      </c>
      <c r="B8" s="13" t="s">
        <v>32</v>
      </c>
      <c r="C8" s="13" t="s">
        <v>33</v>
      </c>
      <c r="D8" s="13" t="s">
        <v>34</v>
      </c>
      <c r="E8" s="13" t="s">
        <v>35</v>
      </c>
      <c r="F8" s="13" t="s">
        <v>25</v>
      </c>
    </row>
    <row r="9" s="15" customFormat="true" ht="102.2" hidden="false" customHeight="true" outlineLevel="0" collapsed="false">
      <c r="A9" s="13" t="s">
        <v>36</v>
      </c>
      <c r="B9" s="13" t="s">
        <v>37</v>
      </c>
      <c r="C9" s="13" t="s">
        <v>38</v>
      </c>
      <c r="D9" s="13" t="s">
        <v>39</v>
      </c>
      <c r="E9" s="13" t="s">
        <v>40</v>
      </c>
      <c r="F9" s="13" t="s">
        <v>25</v>
      </c>
    </row>
    <row r="10" s="15" customFormat="true" ht="78.35" hidden="false" customHeight="true" outlineLevel="0" collapsed="false">
      <c r="A10" s="13" t="s">
        <v>41</v>
      </c>
      <c r="B10" s="13" t="s">
        <v>42</v>
      </c>
      <c r="C10" s="13" t="s">
        <v>43</v>
      </c>
      <c r="D10" s="13" t="s">
        <v>44</v>
      </c>
      <c r="E10" s="13" t="s">
        <v>45</v>
      </c>
      <c r="F10" s="13" t="s">
        <v>25</v>
      </c>
    </row>
    <row r="11" s="15" customFormat="true" ht="103.7" hidden="false" customHeight="true" outlineLevel="0" collapsed="false">
      <c r="A11" s="13" t="s">
        <v>46</v>
      </c>
      <c r="B11" s="13" t="s">
        <v>47</v>
      </c>
      <c r="C11" s="13" t="s">
        <v>48</v>
      </c>
      <c r="D11" s="13" t="s">
        <v>49</v>
      </c>
      <c r="E11" s="13" t="s">
        <v>50</v>
      </c>
      <c r="F11" s="13" t="s">
        <v>51</v>
      </c>
    </row>
    <row r="12" s="15" customFormat="true" ht="82.05" hidden="false" customHeight="true" outlineLevel="0" collapsed="false">
      <c r="A12" s="13" t="s">
        <v>52</v>
      </c>
      <c r="B12" s="13" t="s">
        <v>53</v>
      </c>
      <c r="C12" s="13" t="s">
        <v>54</v>
      </c>
      <c r="D12" s="13" t="s">
        <v>55</v>
      </c>
      <c r="E12" s="13" t="s">
        <v>56</v>
      </c>
      <c r="F12" s="13" t="s">
        <v>57</v>
      </c>
    </row>
    <row r="13" s="15" customFormat="true" ht="78.35" hidden="false" customHeight="true" outlineLevel="0" collapsed="false">
      <c r="A13" s="13" t="s">
        <v>58</v>
      </c>
      <c r="B13" s="13" t="s">
        <v>59</v>
      </c>
      <c r="C13" s="13" t="s">
        <v>60</v>
      </c>
      <c r="D13" s="13" t="s">
        <v>61</v>
      </c>
      <c r="E13" s="13" t="s">
        <v>62</v>
      </c>
      <c r="F13" s="13" t="s">
        <v>63</v>
      </c>
    </row>
    <row r="14" s="15" customFormat="true" ht="105.2" hidden="false" customHeight="true" outlineLevel="0" collapsed="false">
      <c r="A14" s="13" t="s">
        <v>64</v>
      </c>
      <c r="B14" s="13" t="s">
        <v>65</v>
      </c>
      <c r="C14" s="13" t="s">
        <v>66</v>
      </c>
      <c r="D14" s="13" t="s">
        <v>67</v>
      </c>
      <c r="E14" s="13" t="s">
        <v>68</v>
      </c>
      <c r="F14" s="13" t="s">
        <v>69</v>
      </c>
    </row>
    <row r="15" s="15" customFormat="true" ht="113.4" hidden="false" customHeight="true" outlineLevel="0" collapsed="false">
      <c r="A15" s="13" t="s">
        <v>70</v>
      </c>
      <c r="B15" s="13" t="s">
        <v>71</v>
      </c>
      <c r="C15" s="13" t="s">
        <v>72</v>
      </c>
      <c r="D15" s="13" t="s">
        <v>73</v>
      </c>
      <c r="E15" s="13" t="s">
        <v>74</v>
      </c>
      <c r="F15" s="13" t="s">
        <v>75</v>
      </c>
    </row>
    <row r="16" customFormat="false" ht="113.4" hidden="false" customHeight="true" outlineLevel="0" collapsed="false">
      <c r="A16" s="13" t="s">
        <v>70</v>
      </c>
      <c r="B16" s="13" t="s">
        <v>71</v>
      </c>
      <c r="C16" s="13" t="s">
        <v>72</v>
      </c>
      <c r="D16" s="13" t="s">
        <v>73</v>
      </c>
      <c r="E16" s="13" t="s">
        <v>74</v>
      </c>
      <c r="F16" s="13" t="s">
        <v>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4" min="1" style="1" width="10"/>
  </cols>
  <sheetData>
    <row r="1" customFormat="false" ht="18.75" hidden="false" customHeight="true" outlineLevel="0" collapsed="false">
      <c r="A1" s="2"/>
      <c r="B1" s="2"/>
      <c r="C1" s="2"/>
      <c r="D1" s="2"/>
      <c r="E1" s="2"/>
      <c r="F1" s="2"/>
      <c r="G1" s="2"/>
      <c r="H1" s="2"/>
      <c r="I1" s="2"/>
      <c r="J1" s="2"/>
      <c r="K1" s="2"/>
      <c r="L1" s="2"/>
      <c r="M1" s="2"/>
      <c r="N1" s="2"/>
    </row>
    <row r="2" customFormat="false" ht="18.75" hidden="false" customHeight="true" outlineLevel="0" collapsed="false">
      <c r="A2" s="2"/>
      <c r="B2" s="3" t="s">
        <v>76</v>
      </c>
      <c r="C2" s="3" t="s">
        <v>76</v>
      </c>
      <c r="D2" s="3" t="s">
        <v>76</v>
      </c>
      <c r="E2" s="3" t="s">
        <v>76</v>
      </c>
      <c r="F2" s="3" t="s">
        <v>76</v>
      </c>
      <c r="G2" s="3" t="s">
        <v>76</v>
      </c>
      <c r="H2" s="3" t="s">
        <v>76</v>
      </c>
      <c r="I2" s="3" t="s">
        <v>76</v>
      </c>
      <c r="J2" s="3" t="s">
        <v>76</v>
      </c>
      <c r="K2" s="3" t="s">
        <v>76</v>
      </c>
      <c r="L2" s="3" t="s">
        <v>76</v>
      </c>
      <c r="M2" s="3" t="s">
        <v>76</v>
      </c>
      <c r="N2" s="2"/>
    </row>
    <row r="3" customFormat="false" ht="18.75" hidden="false" customHeight="true" outlineLevel="0" collapsed="false">
      <c r="A3" s="2"/>
      <c r="B3" s="3" t="s">
        <v>76</v>
      </c>
      <c r="C3" s="3" t="s">
        <v>76</v>
      </c>
      <c r="D3" s="3" t="s">
        <v>76</v>
      </c>
      <c r="E3" s="3" t="s">
        <v>76</v>
      </c>
      <c r="F3" s="3" t="s">
        <v>76</v>
      </c>
      <c r="G3" s="3" t="s">
        <v>76</v>
      </c>
      <c r="H3" s="3" t="s">
        <v>76</v>
      </c>
      <c r="I3" s="3" t="s">
        <v>76</v>
      </c>
      <c r="J3" s="3" t="s">
        <v>76</v>
      </c>
      <c r="K3" s="3" t="s">
        <v>76</v>
      </c>
      <c r="L3" s="3" t="s">
        <v>76</v>
      </c>
      <c r="M3" s="3" t="s">
        <v>76</v>
      </c>
      <c r="N3" s="2"/>
    </row>
    <row r="4" customFormat="false" ht="18.75" hidden="false" customHeight="true" outlineLevel="0" collapsed="false">
      <c r="A4" s="2"/>
      <c r="B4" s="4" t="s">
        <v>77</v>
      </c>
      <c r="C4" s="4" t="s">
        <v>77</v>
      </c>
      <c r="D4" s="4" t="s">
        <v>77</v>
      </c>
      <c r="E4" s="4" t="s">
        <v>77</v>
      </c>
      <c r="F4" s="4" t="s">
        <v>77</v>
      </c>
      <c r="G4" s="4" t="s">
        <v>77</v>
      </c>
      <c r="H4" s="4" t="s">
        <v>77</v>
      </c>
      <c r="I4" s="4" t="s">
        <v>77</v>
      </c>
      <c r="J4" s="4" t="s">
        <v>77</v>
      </c>
      <c r="K4" s="4" t="s">
        <v>77</v>
      </c>
      <c r="L4" s="4" t="s">
        <v>77</v>
      </c>
      <c r="M4" s="4" t="s">
        <v>77</v>
      </c>
      <c r="N4" s="2"/>
    </row>
    <row r="5" customFormat="false" ht="18.75" hidden="false" customHeight="true" outlineLevel="0" collapsed="false">
      <c r="A5" s="2"/>
      <c r="B5" s="2"/>
      <c r="C5" s="2"/>
      <c r="D5" s="2"/>
      <c r="E5" s="2"/>
      <c r="F5" s="2"/>
      <c r="G5" s="2"/>
      <c r="H5" s="2"/>
      <c r="I5" s="2"/>
      <c r="J5" s="2"/>
      <c r="K5" s="2"/>
      <c r="L5" s="2"/>
      <c r="M5" s="2"/>
      <c r="N5" s="2"/>
    </row>
    <row r="6" customFormat="false" ht="18.75" hidden="false" customHeight="true" outlineLevel="0" collapsed="false">
      <c r="A6" s="2"/>
      <c r="B6" s="6" t="s">
        <v>78</v>
      </c>
      <c r="C6" s="6" t="s">
        <v>78</v>
      </c>
      <c r="D6" s="6" t="s">
        <v>78</v>
      </c>
      <c r="E6" s="6" t="s">
        <v>78</v>
      </c>
      <c r="F6" s="6" t="s">
        <v>78</v>
      </c>
      <c r="G6" s="6" t="s">
        <v>78</v>
      </c>
      <c r="H6" s="6" t="s">
        <v>78</v>
      </c>
      <c r="I6" s="6" t="s">
        <v>78</v>
      </c>
      <c r="J6" s="6" t="s">
        <v>78</v>
      </c>
      <c r="K6" s="6" t="s">
        <v>78</v>
      </c>
      <c r="L6" s="6" t="s">
        <v>78</v>
      </c>
      <c r="M6" s="6" t="s">
        <v>78</v>
      </c>
      <c r="N6" s="2"/>
    </row>
    <row r="7" customFormat="false" ht="18.75" hidden="false" customHeight="true" outlineLevel="0" collapsed="false">
      <c r="A7" s="2"/>
      <c r="B7" s="6" t="s">
        <v>78</v>
      </c>
      <c r="C7" s="6" t="s">
        <v>78</v>
      </c>
      <c r="D7" s="6" t="s">
        <v>78</v>
      </c>
      <c r="E7" s="6" t="s">
        <v>78</v>
      </c>
      <c r="F7" s="6" t="s">
        <v>78</v>
      </c>
      <c r="G7" s="6" t="s">
        <v>78</v>
      </c>
      <c r="H7" s="6" t="s">
        <v>78</v>
      </c>
      <c r="I7" s="6" t="s">
        <v>78</v>
      </c>
      <c r="J7" s="6" t="s">
        <v>78</v>
      </c>
      <c r="K7" s="6" t="s">
        <v>78</v>
      </c>
      <c r="L7" s="6" t="s">
        <v>78</v>
      </c>
      <c r="M7" s="6" t="s">
        <v>78</v>
      </c>
      <c r="N7" s="2"/>
    </row>
    <row r="8" customFormat="false" ht="18.75" hidden="false" customHeight="true" outlineLevel="0" collapsed="false">
      <c r="A8" s="2"/>
      <c r="B8" s="7" t="s">
        <v>79</v>
      </c>
      <c r="C8" s="7" t="s">
        <v>79</v>
      </c>
      <c r="D8" s="7" t="s">
        <v>79</v>
      </c>
      <c r="E8" s="7" t="s">
        <v>79</v>
      </c>
      <c r="F8" s="7" t="s">
        <v>79</v>
      </c>
      <c r="G8" s="7" t="s">
        <v>79</v>
      </c>
      <c r="H8" s="7" t="s">
        <v>79</v>
      </c>
      <c r="I8" s="7" t="s">
        <v>79</v>
      </c>
      <c r="J8" s="7" t="s">
        <v>79</v>
      </c>
      <c r="K8" s="7" t="s">
        <v>79</v>
      </c>
      <c r="L8" s="7" t="s">
        <v>79</v>
      </c>
      <c r="M8" s="7" t="s">
        <v>79</v>
      </c>
      <c r="N8" s="2"/>
    </row>
    <row r="9" customFormat="false" ht="18.75" hidden="false" customHeight="true" outlineLevel="0" collapsed="false">
      <c r="A9" s="2"/>
      <c r="B9" s="7" t="s">
        <v>79</v>
      </c>
      <c r="C9" s="7" t="s">
        <v>79</v>
      </c>
      <c r="D9" s="7" t="s">
        <v>79</v>
      </c>
      <c r="E9" s="7" t="s">
        <v>79</v>
      </c>
      <c r="F9" s="7" t="s">
        <v>79</v>
      </c>
      <c r="G9" s="7" t="s">
        <v>79</v>
      </c>
      <c r="H9" s="7" t="s">
        <v>79</v>
      </c>
      <c r="I9" s="7" t="s">
        <v>79</v>
      </c>
      <c r="J9" s="7" t="s">
        <v>79</v>
      </c>
      <c r="K9" s="7" t="s">
        <v>79</v>
      </c>
      <c r="L9" s="7" t="s">
        <v>79</v>
      </c>
      <c r="M9" s="7" t="s">
        <v>79</v>
      </c>
      <c r="N9" s="2"/>
    </row>
    <row r="10" customFormat="false" ht="18.75" hidden="false" customHeight="true" outlineLevel="0" collapsed="false">
      <c r="A10" s="2"/>
      <c r="B10" s="7" t="s">
        <v>79</v>
      </c>
      <c r="C10" s="7" t="s">
        <v>79</v>
      </c>
      <c r="D10" s="7" t="s">
        <v>79</v>
      </c>
      <c r="E10" s="7" t="s">
        <v>79</v>
      </c>
      <c r="F10" s="7" t="s">
        <v>79</v>
      </c>
      <c r="G10" s="7" t="s">
        <v>79</v>
      </c>
      <c r="H10" s="7" t="s">
        <v>79</v>
      </c>
      <c r="I10" s="7" t="s">
        <v>79</v>
      </c>
      <c r="J10" s="7" t="s">
        <v>79</v>
      </c>
      <c r="K10" s="7" t="s">
        <v>79</v>
      </c>
      <c r="L10" s="7" t="s">
        <v>79</v>
      </c>
      <c r="M10" s="7" t="s">
        <v>79</v>
      </c>
      <c r="N10" s="2"/>
    </row>
    <row r="11" customFormat="false" ht="18.75" hidden="false" customHeight="true" outlineLevel="0" collapsed="false">
      <c r="A11" s="2"/>
      <c r="B11" s="7" t="s">
        <v>79</v>
      </c>
      <c r="C11" s="7" t="s">
        <v>79</v>
      </c>
      <c r="D11" s="7" t="s">
        <v>79</v>
      </c>
      <c r="E11" s="7" t="s">
        <v>79</v>
      </c>
      <c r="F11" s="7" t="s">
        <v>79</v>
      </c>
      <c r="G11" s="7" t="s">
        <v>79</v>
      </c>
      <c r="H11" s="7" t="s">
        <v>79</v>
      </c>
      <c r="I11" s="7" t="s">
        <v>79</v>
      </c>
      <c r="J11" s="7" t="s">
        <v>79</v>
      </c>
      <c r="K11" s="7" t="s">
        <v>79</v>
      </c>
      <c r="L11" s="7" t="s">
        <v>79</v>
      </c>
      <c r="M11" s="7" t="s">
        <v>79</v>
      </c>
      <c r="N11" s="2"/>
    </row>
    <row r="12" customFormat="false" ht="18.75" hidden="false" customHeight="true" outlineLevel="0" collapsed="false">
      <c r="A12" s="2"/>
      <c r="B12" s="2"/>
      <c r="C12" s="2"/>
      <c r="D12" s="2"/>
      <c r="E12" s="2"/>
      <c r="F12" s="2"/>
      <c r="G12" s="2"/>
      <c r="H12" s="2"/>
      <c r="I12" s="2"/>
      <c r="J12" s="2"/>
      <c r="K12" s="2"/>
      <c r="L12" s="2"/>
      <c r="M12" s="2"/>
      <c r="N12" s="2"/>
    </row>
    <row r="13" customFormat="false" ht="18.75" hidden="false" customHeight="true" outlineLevel="0" collapsed="false">
      <c r="A13" s="2"/>
      <c r="B13" s="6" t="s">
        <v>80</v>
      </c>
      <c r="C13" s="6" t="s">
        <v>80</v>
      </c>
      <c r="D13" s="6" t="s">
        <v>80</v>
      </c>
      <c r="E13" s="6" t="s">
        <v>80</v>
      </c>
      <c r="F13" s="6" t="s">
        <v>80</v>
      </c>
      <c r="G13" s="6" t="s">
        <v>80</v>
      </c>
      <c r="H13" s="6" t="s">
        <v>80</v>
      </c>
      <c r="I13" s="6" t="s">
        <v>80</v>
      </c>
      <c r="J13" s="6" t="s">
        <v>80</v>
      </c>
      <c r="K13" s="6" t="s">
        <v>80</v>
      </c>
      <c r="L13" s="6" t="s">
        <v>80</v>
      </c>
      <c r="M13" s="6" t="s">
        <v>80</v>
      </c>
      <c r="N13" s="2"/>
    </row>
    <row r="14" customFormat="false" ht="18.75" hidden="false" customHeight="true" outlineLevel="0" collapsed="false">
      <c r="A14" s="2"/>
      <c r="B14" s="6" t="s">
        <v>80</v>
      </c>
      <c r="C14" s="6" t="s">
        <v>80</v>
      </c>
      <c r="D14" s="6" t="s">
        <v>80</v>
      </c>
      <c r="E14" s="6" t="s">
        <v>80</v>
      </c>
      <c r="F14" s="6" t="s">
        <v>80</v>
      </c>
      <c r="G14" s="6" t="s">
        <v>80</v>
      </c>
      <c r="H14" s="6" t="s">
        <v>80</v>
      </c>
      <c r="I14" s="6" t="s">
        <v>80</v>
      </c>
      <c r="J14" s="6" t="s">
        <v>80</v>
      </c>
      <c r="K14" s="6" t="s">
        <v>80</v>
      </c>
      <c r="L14" s="6" t="s">
        <v>80</v>
      </c>
      <c r="M14" s="6" t="s">
        <v>80</v>
      </c>
      <c r="N14" s="2"/>
    </row>
    <row r="15" customFormat="false" ht="18.75" hidden="false" customHeight="true" outlineLevel="0" collapsed="false">
      <c r="A15" s="2"/>
      <c r="B15" s="7" t="s">
        <v>81</v>
      </c>
      <c r="C15" s="7" t="s">
        <v>81</v>
      </c>
      <c r="D15" s="7" t="s">
        <v>81</v>
      </c>
      <c r="E15" s="7" t="s">
        <v>81</v>
      </c>
      <c r="F15" s="7" t="s">
        <v>81</v>
      </c>
      <c r="G15" s="7" t="s">
        <v>81</v>
      </c>
      <c r="H15" s="7" t="s">
        <v>81</v>
      </c>
      <c r="I15" s="7" t="s">
        <v>81</v>
      </c>
      <c r="J15" s="7" t="s">
        <v>81</v>
      </c>
      <c r="K15" s="7" t="s">
        <v>81</v>
      </c>
      <c r="L15" s="7" t="s">
        <v>81</v>
      </c>
      <c r="M15" s="7" t="s">
        <v>81</v>
      </c>
      <c r="N15" s="2"/>
    </row>
    <row r="16" customFormat="false" ht="18.75" hidden="false" customHeight="true" outlineLevel="0" collapsed="false">
      <c r="A16" s="2"/>
      <c r="B16" s="7" t="s">
        <v>81</v>
      </c>
      <c r="C16" s="7" t="s">
        <v>81</v>
      </c>
      <c r="D16" s="7" t="s">
        <v>81</v>
      </c>
      <c r="E16" s="7" t="s">
        <v>81</v>
      </c>
      <c r="F16" s="7" t="s">
        <v>81</v>
      </c>
      <c r="G16" s="7" t="s">
        <v>81</v>
      </c>
      <c r="H16" s="7" t="s">
        <v>81</v>
      </c>
      <c r="I16" s="7" t="s">
        <v>81</v>
      </c>
      <c r="J16" s="7" t="s">
        <v>81</v>
      </c>
      <c r="K16" s="7" t="s">
        <v>81</v>
      </c>
      <c r="L16" s="7" t="s">
        <v>81</v>
      </c>
      <c r="M16" s="7" t="s">
        <v>81</v>
      </c>
      <c r="N16" s="2"/>
    </row>
    <row r="17" customFormat="false" ht="18.75" hidden="false" customHeight="true" outlineLevel="0" collapsed="false">
      <c r="A17" s="2"/>
      <c r="B17" s="7" t="s">
        <v>81</v>
      </c>
      <c r="C17" s="7" t="s">
        <v>81</v>
      </c>
      <c r="D17" s="7" t="s">
        <v>81</v>
      </c>
      <c r="E17" s="7" t="s">
        <v>81</v>
      </c>
      <c r="F17" s="7" t="s">
        <v>81</v>
      </c>
      <c r="G17" s="7" t="s">
        <v>81</v>
      </c>
      <c r="H17" s="7" t="s">
        <v>81</v>
      </c>
      <c r="I17" s="7" t="s">
        <v>81</v>
      </c>
      <c r="J17" s="7" t="s">
        <v>81</v>
      </c>
      <c r="K17" s="7" t="s">
        <v>81</v>
      </c>
      <c r="L17" s="7" t="s">
        <v>81</v>
      </c>
      <c r="M17" s="7" t="s">
        <v>81</v>
      </c>
      <c r="N17" s="2"/>
    </row>
    <row r="18" customFormat="false" ht="18.75" hidden="false" customHeight="true" outlineLevel="0" collapsed="false">
      <c r="A18" s="2"/>
      <c r="B18" s="7" t="s">
        <v>81</v>
      </c>
      <c r="C18" s="7" t="s">
        <v>81</v>
      </c>
      <c r="D18" s="7" t="s">
        <v>81</v>
      </c>
      <c r="E18" s="7" t="s">
        <v>81</v>
      </c>
      <c r="F18" s="7" t="s">
        <v>81</v>
      </c>
      <c r="G18" s="7" t="s">
        <v>81</v>
      </c>
      <c r="H18" s="7" t="s">
        <v>81</v>
      </c>
      <c r="I18" s="7" t="s">
        <v>81</v>
      </c>
      <c r="J18" s="7" t="s">
        <v>81</v>
      </c>
      <c r="K18" s="7" t="s">
        <v>81</v>
      </c>
      <c r="L18" s="7" t="s">
        <v>81</v>
      </c>
      <c r="M18" s="7" t="s">
        <v>81</v>
      </c>
      <c r="N18" s="2"/>
    </row>
    <row r="19" customFormat="false" ht="18.75" hidden="false" customHeight="true" outlineLevel="0" collapsed="false">
      <c r="A19" s="2"/>
      <c r="B19" s="2"/>
      <c r="C19" s="2"/>
      <c r="D19" s="2"/>
      <c r="E19" s="2"/>
      <c r="F19" s="2"/>
      <c r="G19" s="2"/>
      <c r="H19" s="2"/>
      <c r="I19" s="2"/>
      <c r="J19" s="2"/>
      <c r="K19" s="2"/>
      <c r="L19" s="2"/>
      <c r="M19" s="2"/>
      <c r="N19" s="2"/>
    </row>
    <row r="20" customFormat="false" ht="18.75" hidden="false" customHeight="true" outlineLevel="0" collapsed="false">
      <c r="A20" s="2"/>
      <c r="B20" s="16" t="s">
        <v>82</v>
      </c>
      <c r="C20" s="16" t="s">
        <v>82</v>
      </c>
      <c r="D20" s="16" t="s">
        <v>82</v>
      </c>
      <c r="E20" s="16" t="s">
        <v>82</v>
      </c>
      <c r="F20" s="16" t="s">
        <v>82</v>
      </c>
      <c r="G20" s="16" t="s">
        <v>82</v>
      </c>
      <c r="H20" s="16" t="s">
        <v>82</v>
      </c>
      <c r="I20" s="16" t="s">
        <v>82</v>
      </c>
      <c r="J20" s="16" t="s">
        <v>82</v>
      </c>
      <c r="K20" s="16" t="s">
        <v>82</v>
      </c>
      <c r="L20" s="16" t="s">
        <v>82</v>
      </c>
      <c r="M20" s="16" t="s">
        <v>82</v>
      </c>
      <c r="N20" s="2"/>
    </row>
    <row r="21" customFormat="false" ht="18.75" hidden="false" customHeight="true" outlineLevel="0" collapsed="false">
      <c r="A21" s="2"/>
      <c r="B21" s="16" t="s">
        <v>82</v>
      </c>
      <c r="C21" s="16" t="s">
        <v>82</v>
      </c>
      <c r="D21" s="16" t="s">
        <v>82</v>
      </c>
      <c r="E21" s="16" t="s">
        <v>82</v>
      </c>
      <c r="F21" s="16" t="s">
        <v>82</v>
      </c>
      <c r="G21" s="16" t="s">
        <v>82</v>
      </c>
      <c r="H21" s="16" t="s">
        <v>82</v>
      </c>
      <c r="I21" s="16" t="s">
        <v>82</v>
      </c>
      <c r="J21" s="16" t="s">
        <v>82</v>
      </c>
      <c r="K21" s="16" t="s">
        <v>82</v>
      </c>
      <c r="L21" s="16" t="s">
        <v>82</v>
      </c>
      <c r="M21" s="16" t="s">
        <v>82</v>
      </c>
      <c r="N21" s="2"/>
    </row>
    <row r="22" customFormat="false" ht="18.75" hidden="false" customHeight="true" outlineLevel="0" collapsed="false">
      <c r="A22" s="2"/>
      <c r="B22" s="16" t="s">
        <v>82</v>
      </c>
      <c r="C22" s="16" t="s">
        <v>82</v>
      </c>
      <c r="D22" s="16" t="s">
        <v>82</v>
      </c>
      <c r="E22" s="16" t="s">
        <v>82</v>
      </c>
      <c r="F22" s="16" t="s">
        <v>82</v>
      </c>
      <c r="G22" s="16" t="s">
        <v>82</v>
      </c>
      <c r="H22" s="16" t="s">
        <v>82</v>
      </c>
      <c r="I22" s="16" t="s">
        <v>82</v>
      </c>
      <c r="J22" s="16" t="s">
        <v>82</v>
      </c>
      <c r="K22" s="16" t="s">
        <v>82</v>
      </c>
      <c r="L22" s="16" t="s">
        <v>82</v>
      </c>
      <c r="M22" s="16" t="s">
        <v>82</v>
      </c>
      <c r="N22" s="2"/>
    </row>
    <row r="23" customFormat="false" ht="18.75" hidden="false" customHeight="true" outlineLevel="0" collapsed="false">
      <c r="A23" s="2"/>
      <c r="B23" s="16" t="s">
        <v>82</v>
      </c>
      <c r="C23" s="16" t="s">
        <v>82</v>
      </c>
      <c r="D23" s="16" t="s">
        <v>82</v>
      </c>
      <c r="E23" s="16" t="s">
        <v>82</v>
      </c>
      <c r="F23" s="16" t="s">
        <v>82</v>
      </c>
      <c r="G23" s="16" t="s">
        <v>82</v>
      </c>
      <c r="H23" s="16" t="s">
        <v>82</v>
      </c>
      <c r="I23" s="16" t="s">
        <v>82</v>
      </c>
      <c r="J23" s="16" t="s">
        <v>82</v>
      </c>
      <c r="K23" s="16" t="s">
        <v>82</v>
      </c>
      <c r="L23" s="16" t="s">
        <v>82</v>
      </c>
      <c r="M23" s="16" t="s">
        <v>82</v>
      </c>
      <c r="N23" s="2"/>
    </row>
    <row r="24" customFormat="false" ht="18.75" hidden="false" customHeight="true" outlineLevel="0" collapsed="false">
      <c r="A24" s="2"/>
      <c r="B24" s="2"/>
      <c r="C24" s="2"/>
      <c r="D24" s="2"/>
      <c r="E24" s="2"/>
      <c r="F24" s="2"/>
      <c r="G24" s="2"/>
      <c r="H24" s="2"/>
      <c r="I24" s="2"/>
      <c r="J24" s="2"/>
      <c r="K24" s="2"/>
      <c r="L24" s="2"/>
      <c r="M24" s="2"/>
      <c r="N24" s="2"/>
    </row>
    <row r="25" customFormat="false" ht="18.75" hidden="false" customHeight="true" outlineLevel="0" collapsed="false">
      <c r="A25" s="2"/>
      <c r="B25" s="6" t="s">
        <v>83</v>
      </c>
      <c r="C25" s="6" t="s">
        <v>83</v>
      </c>
      <c r="D25" s="6" t="s">
        <v>83</v>
      </c>
      <c r="E25" s="6" t="s">
        <v>83</v>
      </c>
      <c r="F25" s="6" t="s">
        <v>83</v>
      </c>
      <c r="G25" s="6" t="s">
        <v>83</v>
      </c>
      <c r="H25" s="6" t="s">
        <v>83</v>
      </c>
      <c r="I25" s="6" t="s">
        <v>83</v>
      </c>
      <c r="J25" s="6" t="s">
        <v>83</v>
      </c>
      <c r="K25" s="6" t="s">
        <v>83</v>
      </c>
      <c r="L25" s="6" t="s">
        <v>83</v>
      </c>
      <c r="M25" s="6" t="s">
        <v>83</v>
      </c>
      <c r="N25" s="2"/>
    </row>
    <row r="26" customFormat="false" ht="18.75" hidden="false" customHeight="true" outlineLevel="0" collapsed="false">
      <c r="A26" s="2"/>
      <c r="B26" s="6" t="s">
        <v>83</v>
      </c>
      <c r="C26" s="6" t="s">
        <v>83</v>
      </c>
      <c r="D26" s="6" t="s">
        <v>83</v>
      </c>
      <c r="E26" s="6" t="s">
        <v>83</v>
      </c>
      <c r="F26" s="6" t="s">
        <v>83</v>
      </c>
      <c r="G26" s="6" t="s">
        <v>83</v>
      </c>
      <c r="H26" s="6" t="s">
        <v>83</v>
      </c>
      <c r="I26" s="6" t="s">
        <v>83</v>
      </c>
      <c r="J26" s="6" t="s">
        <v>83</v>
      </c>
      <c r="K26" s="6" t="s">
        <v>83</v>
      </c>
      <c r="L26" s="6" t="s">
        <v>83</v>
      </c>
      <c r="M26" s="6" t="s">
        <v>83</v>
      </c>
      <c r="N26" s="2"/>
    </row>
    <row r="27" customFormat="false" ht="18.75" hidden="false" customHeight="true" outlineLevel="0" collapsed="false">
      <c r="A27" s="2"/>
      <c r="B27" s="17" t="s">
        <v>84</v>
      </c>
      <c r="C27" s="17" t="s">
        <v>84</v>
      </c>
      <c r="D27" s="17" t="s">
        <v>84</v>
      </c>
      <c r="E27" s="17" t="s">
        <v>84</v>
      </c>
      <c r="F27" s="17" t="s">
        <v>84</v>
      </c>
      <c r="G27" s="17" t="s">
        <v>84</v>
      </c>
      <c r="H27" s="17" t="s">
        <v>84</v>
      </c>
      <c r="I27" s="17" t="s">
        <v>84</v>
      </c>
      <c r="J27" s="17" t="s">
        <v>84</v>
      </c>
      <c r="K27" s="17" t="s">
        <v>84</v>
      </c>
      <c r="L27" s="17" t="s">
        <v>84</v>
      </c>
      <c r="M27" s="17" t="s">
        <v>84</v>
      </c>
      <c r="N27" s="2"/>
    </row>
    <row r="28" customFormat="false" ht="18.75" hidden="false" customHeight="true" outlineLevel="0" collapsed="false">
      <c r="A28" s="2"/>
      <c r="B28" s="17" t="s">
        <v>84</v>
      </c>
      <c r="C28" s="17" t="s">
        <v>84</v>
      </c>
      <c r="D28" s="17" t="s">
        <v>84</v>
      </c>
      <c r="E28" s="17" t="s">
        <v>84</v>
      </c>
      <c r="F28" s="17" t="s">
        <v>84</v>
      </c>
      <c r="G28" s="17" t="s">
        <v>84</v>
      </c>
      <c r="H28" s="17" t="s">
        <v>84</v>
      </c>
      <c r="I28" s="17" t="s">
        <v>84</v>
      </c>
      <c r="J28" s="17" t="s">
        <v>84</v>
      </c>
      <c r="K28" s="17" t="s">
        <v>84</v>
      </c>
      <c r="L28" s="17" t="s">
        <v>84</v>
      </c>
      <c r="M28" s="17" t="s">
        <v>84</v>
      </c>
      <c r="N28" s="2"/>
    </row>
    <row r="29" customFormat="false" ht="18.75" hidden="false" customHeight="true" outlineLevel="0" collapsed="false">
      <c r="A29" s="2"/>
      <c r="B29" s="17" t="s">
        <v>84</v>
      </c>
      <c r="C29" s="17" t="s">
        <v>84</v>
      </c>
      <c r="D29" s="17" t="s">
        <v>84</v>
      </c>
      <c r="E29" s="17" t="s">
        <v>84</v>
      </c>
      <c r="F29" s="17" t="s">
        <v>84</v>
      </c>
      <c r="G29" s="17" t="s">
        <v>84</v>
      </c>
      <c r="H29" s="17" t="s">
        <v>84</v>
      </c>
      <c r="I29" s="17" t="s">
        <v>84</v>
      </c>
      <c r="J29" s="17" t="s">
        <v>84</v>
      </c>
      <c r="K29" s="17" t="s">
        <v>84</v>
      </c>
      <c r="L29" s="17" t="s">
        <v>84</v>
      </c>
      <c r="M29" s="17" t="s">
        <v>84</v>
      </c>
      <c r="N29" s="2"/>
    </row>
    <row r="30" customFormat="false" ht="18.75" hidden="false" customHeight="true" outlineLevel="0" collapsed="false">
      <c r="A30" s="2"/>
      <c r="B30" s="17" t="s">
        <v>84</v>
      </c>
      <c r="C30" s="17" t="s">
        <v>84</v>
      </c>
      <c r="D30" s="17" t="s">
        <v>84</v>
      </c>
      <c r="E30" s="17" t="s">
        <v>84</v>
      </c>
      <c r="F30" s="17" t="s">
        <v>84</v>
      </c>
      <c r="G30" s="17" t="s">
        <v>84</v>
      </c>
      <c r="H30" s="17" t="s">
        <v>84</v>
      </c>
      <c r="I30" s="17" t="s">
        <v>84</v>
      </c>
      <c r="J30" s="17" t="s">
        <v>84</v>
      </c>
      <c r="K30" s="17" t="s">
        <v>84</v>
      </c>
      <c r="L30" s="17" t="s">
        <v>84</v>
      </c>
      <c r="M30" s="17" t="s">
        <v>84</v>
      </c>
      <c r="N30" s="2"/>
    </row>
    <row r="31" customFormat="false" ht="18.75" hidden="false" customHeight="true" outlineLevel="0" collapsed="false">
      <c r="A31" s="2"/>
      <c r="B31" s="17" t="s">
        <v>84</v>
      </c>
      <c r="C31" s="17" t="s">
        <v>84</v>
      </c>
      <c r="D31" s="17" t="s">
        <v>84</v>
      </c>
      <c r="E31" s="17" t="s">
        <v>84</v>
      </c>
      <c r="F31" s="17" t="s">
        <v>84</v>
      </c>
      <c r="G31" s="17" t="s">
        <v>84</v>
      </c>
      <c r="H31" s="17" t="s">
        <v>84</v>
      </c>
      <c r="I31" s="17" t="s">
        <v>84</v>
      </c>
      <c r="J31" s="17" t="s">
        <v>84</v>
      </c>
      <c r="K31" s="17" t="s">
        <v>84</v>
      </c>
      <c r="L31" s="17" t="s">
        <v>84</v>
      </c>
      <c r="M31" s="17" t="s">
        <v>84</v>
      </c>
      <c r="N31" s="2"/>
    </row>
    <row r="32" customFormat="false" ht="18.75" hidden="false" customHeight="true" outlineLevel="0" collapsed="false">
      <c r="A32" s="2"/>
      <c r="B32" s="17" t="s">
        <v>84</v>
      </c>
      <c r="C32" s="17" t="s">
        <v>84</v>
      </c>
      <c r="D32" s="17" t="s">
        <v>84</v>
      </c>
      <c r="E32" s="17" t="s">
        <v>84</v>
      </c>
      <c r="F32" s="17" t="s">
        <v>84</v>
      </c>
      <c r="G32" s="17" t="s">
        <v>84</v>
      </c>
      <c r="H32" s="17" t="s">
        <v>84</v>
      </c>
      <c r="I32" s="17" t="s">
        <v>84</v>
      </c>
      <c r="J32" s="17" t="s">
        <v>84</v>
      </c>
      <c r="K32" s="17" t="s">
        <v>84</v>
      </c>
      <c r="L32" s="17" t="s">
        <v>84</v>
      </c>
      <c r="M32" s="17" t="s">
        <v>84</v>
      </c>
      <c r="N32" s="2"/>
    </row>
    <row r="33" customFormat="false" ht="18.75" hidden="false" customHeight="true" outlineLevel="0" collapsed="false">
      <c r="A33" s="2"/>
      <c r="B33" s="17" t="s">
        <v>84</v>
      </c>
      <c r="C33" s="17" t="s">
        <v>84</v>
      </c>
      <c r="D33" s="17" t="s">
        <v>84</v>
      </c>
      <c r="E33" s="17" t="s">
        <v>84</v>
      </c>
      <c r="F33" s="17" t="s">
        <v>84</v>
      </c>
      <c r="G33" s="17" t="s">
        <v>84</v>
      </c>
      <c r="H33" s="17" t="s">
        <v>84</v>
      </c>
      <c r="I33" s="17" t="s">
        <v>84</v>
      </c>
      <c r="J33" s="17" t="s">
        <v>84</v>
      </c>
      <c r="K33" s="17" t="s">
        <v>84</v>
      </c>
      <c r="L33" s="17" t="s">
        <v>84</v>
      </c>
      <c r="M33" s="17" t="s">
        <v>84</v>
      </c>
      <c r="N33" s="2"/>
    </row>
    <row r="34" customFormat="false" ht="18.75" hidden="false" customHeight="true" outlineLevel="0" collapsed="false">
      <c r="A34" s="2"/>
      <c r="B34" s="17" t="s">
        <v>84</v>
      </c>
      <c r="C34" s="17" t="s">
        <v>84</v>
      </c>
      <c r="D34" s="17" t="s">
        <v>84</v>
      </c>
      <c r="E34" s="17" t="s">
        <v>84</v>
      </c>
      <c r="F34" s="17" t="s">
        <v>84</v>
      </c>
      <c r="G34" s="17" t="s">
        <v>84</v>
      </c>
      <c r="H34" s="17" t="s">
        <v>84</v>
      </c>
      <c r="I34" s="17" t="s">
        <v>84</v>
      </c>
      <c r="J34" s="17" t="s">
        <v>84</v>
      </c>
      <c r="K34" s="17" t="s">
        <v>84</v>
      </c>
      <c r="L34" s="17" t="s">
        <v>84</v>
      </c>
      <c r="M34" s="17" t="s">
        <v>84</v>
      </c>
      <c r="N34" s="2"/>
    </row>
    <row r="35" customFormat="false" ht="18.75" hidden="false" customHeight="true" outlineLevel="0" collapsed="false">
      <c r="A35" s="2"/>
      <c r="B35" s="2"/>
      <c r="C35" s="2"/>
      <c r="D35" s="2"/>
      <c r="E35" s="2"/>
      <c r="F35" s="2"/>
      <c r="G35" s="2"/>
      <c r="H35" s="2"/>
      <c r="I35" s="2"/>
      <c r="J35" s="2"/>
      <c r="K35" s="2"/>
      <c r="L35" s="2"/>
      <c r="M35" s="2"/>
      <c r="N35" s="2"/>
    </row>
    <row r="36" customFormat="false" ht="18.75" hidden="false" customHeight="true" outlineLevel="0" collapsed="false">
      <c r="A36" s="2"/>
      <c r="B36" s="2"/>
      <c r="C36" s="2"/>
      <c r="D36" s="2"/>
      <c r="E36" s="2"/>
      <c r="F36" s="2"/>
      <c r="G36" s="2"/>
      <c r="H36" s="2"/>
      <c r="I36" s="2"/>
      <c r="J36" s="2"/>
      <c r="K36" s="2"/>
      <c r="L36" s="2"/>
      <c r="M36" s="2"/>
      <c r="N36" s="2"/>
    </row>
    <row r="37" customFormat="false" ht="18.75" hidden="false" customHeight="true" outlineLevel="0" collapsed="false">
      <c r="A37" s="2"/>
      <c r="B37" s="2"/>
      <c r="C37" s="2"/>
      <c r="D37" s="2"/>
      <c r="E37" s="2"/>
      <c r="F37" s="2"/>
      <c r="G37" s="2"/>
      <c r="H37" s="2"/>
      <c r="I37" s="2"/>
      <c r="J37" s="2"/>
      <c r="K37" s="2"/>
      <c r="L37" s="2"/>
      <c r="M37" s="2"/>
      <c r="N37" s="2"/>
    </row>
    <row r="38" customFormat="false" ht="18.75" hidden="false" customHeight="true" outlineLevel="0" collapsed="false">
      <c r="A38" s="2"/>
      <c r="B38" s="2"/>
      <c r="C38" s="2"/>
      <c r="D38" s="2"/>
      <c r="E38" s="2"/>
      <c r="F38" s="2"/>
      <c r="G38" s="2"/>
      <c r="H38" s="2"/>
      <c r="I38" s="2"/>
      <c r="J38" s="2"/>
      <c r="K38" s="2"/>
      <c r="L38" s="2"/>
      <c r="M38" s="2"/>
      <c r="N38" s="2"/>
    </row>
  </sheetData>
  <mergeCells count="9">
    <mergeCell ref="B2:M3"/>
    <mergeCell ref="B4:M4"/>
    <mergeCell ref="B6:M7"/>
    <mergeCell ref="B8:M11"/>
    <mergeCell ref="B13:M14"/>
    <mergeCell ref="B15:M18"/>
    <mergeCell ref="B20:M23"/>
    <mergeCell ref="B25:M26"/>
    <mergeCell ref="B27:M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4" min="1" style="1" width="10"/>
  </cols>
  <sheetData>
    <row r="1" customFormat="false" ht="18.75" hidden="false" customHeight="true" outlineLevel="0" collapsed="false">
      <c r="A1" s="2"/>
      <c r="B1" s="2"/>
      <c r="C1" s="2"/>
      <c r="D1" s="2"/>
      <c r="E1" s="2"/>
      <c r="F1" s="2"/>
      <c r="G1" s="2"/>
      <c r="H1" s="2"/>
      <c r="I1" s="2"/>
      <c r="J1" s="2"/>
      <c r="K1" s="2"/>
      <c r="L1" s="2"/>
      <c r="M1" s="2"/>
      <c r="N1" s="2"/>
    </row>
    <row r="2" customFormat="false" ht="18.75" hidden="false" customHeight="true" outlineLevel="0" collapsed="false">
      <c r="A2" s="2"/>
      <c r="B2" s="3" t="s">
        <v>85</v>
      </c>
      <c r="C2" s="3" t="s">
        <v>85</v>
      </c>
      <c r="D2" s="3" t="s">
        <v>85</v>
      </c>
      <c r="E2" s="3" t="s">
        <v>85</v>
      </c>
      <c r="F2" s="3" t="s">
        <v>85</v>
      </c>
      <c r="G2" s="3" t="s">
        <v>85</v>
      </c>
      <c r="H2" s="3" t="s">
        <v>85</v>
      </c>
      <c r="I2" s="3" t="s">
        <v>85</v>
      </c>
      <c r="J2" s="3" t="s">
        <v>85</v>
      </c>
      <c r="K2" s="3" t="s">
        <v>85</v>
      </c>
      <c r="L2" s="3" t="s">
        <v>85</v>
      </c>
      <c r="M2" s="3" t="s">
        <v>85</v>
      </c>
      <c r="N2" s="2"/>
    </row>
    <row r="3" customFormat="false" ht="18.75" hidden="false" customHeight="true" outlineLevel="0" collapsed="false">
      <c r="A3" s="2"/>
      <c r="B3" s="3" t="s">
        <v>85</v>
      </c>
      <c r="C3" s="3" t="s">
        <v>85</v>
      </c>
      <c r="D3" s="3" t="s">
        <v>85</v>
      </c>
      <c r="E3" s="3" t="s">
        <v>85</v>
      </c>
      <c r="F3" s="3" t="s">
        <v>85</v>
      </c>
      <c r="G3" s="3" t="s">
        <v>85</v>
      </c>
      <c r="H3" s="3" t="s">
        <v>85</v>
      </c>
      <c r="I3" s="3" t="s">
        <v>85</v>
      </c>
      <c r="J3" s="3" t="s">
        <v>85</v>
      </c>
      <c r="K3" s="3" t="s">
        <v>85</v>
      </c>
      <c r="L3" s="3" t="s">
        <v>85</v>
      </c>
      <c r="M3" s="3" t="s">
        <v>85</v>
      </c>
      <c r="N3" s="2"/>
    </row>
    <row r="4" customFormat="false" ht="18.75" hidden="false" customHeight="true" outlineLevel="0" collapsed="false">
      <c r="A4" s="2"/>
      <c r="B4" s="4" t="s">
        <v>86</v>
      </c>
      <c r="C4" s="4" t="s">
        <v>86</v>
      </c>
      <c r="D4" s="4" t="s">
        <v>86</v>
      </c>
      <c r="E4" s="4" t="s">
        <v>86</v>
      </c>
      <c r="F4" s="4" t="s">
        <v>86</v>
      </c>
      <c r="G4" s="4" t="s">
        <v>86</v>
      </c>
      <c r="H4" s="4" t="s">
        <v>86</v>
      </c>
      <c r="I4" s="4" t="s">
        <v>86</v>
      </c>
      <c r="J4" s="4" t="s">
        <v>86</v>
      </c>
      <c r="K4" s="4" t="s">
        <v>86</v>
      </c>
      <c r="L4" s="4" t="s">
        <v>86</v>
      </c>
      <c r="M4" s="4" t="s">
        <v>86</v>
      </c>
      <c r="N4" s="2"/>
    </row>
    <row r="5" customFormat="false" ht="18.75" hidden="false" customHeight="true" outlineLevel="0" collapsed="false">
      <c r="A5" s="2"/>
      <c r="B5" s="2"/>
      <c r="C5" s="2"/>
      <c r="D5" s="2"/>
      <c r="E5" s="2"/>
      <c r="F5" s="2"/>
      <c r="G5" s="2"/>
      <c r="H5" s="2"/>
      <c r="I5" s="2"/>
      <c r="J5" s="2"/>
      <c r="K5" s="2"/>
      <c r="L5" s="2"/>
      <c r="M5" s="2"/>
      <c r="N5" s="2"/>
    </row>
    <row r="6" customFormat="false" ht="18.75" hidden="false" customHeight="true" outlineLevel="0" collapsed="false">
      <c r="A6" s="2"/>
      <c r="B6" s="18" t="s">
        <v>87</v>
      </c>
      <c r="C6" s="18" t="s">
        <v>87</v>
      </c>
      <c r="D6" s="18" t="s">
        <v>87</v>
      </c>
      <c r="E6" s="18" t="s">
        <v>87</v>
      </c>
      <c r="F6" s="18" t="s">
        <v>87</v>
      </c>
      <c r="G6" s="18" t="s">
        <v>87</v>
      </c>
      <c r="H6" s="18" t="s">
        <v>87</v>
      </c>
      <c r="I6" s="18" t="s">
        <v>87</v>
      </c>
      <c r="J6" s="18" t="s">
        <v>87</v>
      </c>
      <c r="K6" s="18" t="s">
        <v>87</v>
      </c>
      <c r="L6" s="18" t="s">
        <v>87</v>
      </c>
      <c r="M6" s="18" t="s">
        <v>87</v>
      </c>
      <c r="N6" s="2"/>
    </row>
    <row r="7" customFormat="false" ht="18.75" hidden="false" customHeight="true" outlineLevel="0" collapsed="false">
      <c r="A7" s="2"/>
      <c r="B7" s="18" t="s">
        <v>87</v>
      </c>
      <c r="C7" s="18" t="s">
        <v>87</v>
      </c>
      <c r="D7" s="18" t="s">
        <v>87</v>
      </c>
      <c r="E7" s="18" t="s">
        <v>87</v>
      </c>
      <c r="F7" s="18" t="s">
        <v>87</v>
      </c>
      <c r="G7" s="18" t="s">
        <v>87</v>
      </c>
      <c r="H7" s="18" t="s">
        <v>87</v>
      </c>
      <c r="I7" s="18" t="s">
        <v>87</v>
      </c>
      <c r="J7" s="18" t="s">
        <v>87</v>
      </c>
      <c r="K7" s="18" t="s">
        <v>87</v>
      </c>
      <c r="L7" s="18" t="s">
        <v>87</v>
      </c>
      <c r="M7" s="18" t="s">
        <v>87</v>
      </c>
      <c r="N7" s="2"/>
    </row>
    <row r="8" customFormat="false" ht="18.75" hidden="false" customHeight="true" outlineLevel="0" collapsed="false">
      <c r="A8" s="2"/>
      <c r="B8" s="18" t="s">
        <v>87</v>
      </c>
      <c r="C8" s="18" t="s">
        <v>87</v>
      </c>
      <c r="D8" s="18" t="s">
        <v>87</v>
      </c>
      <c r="E8" s="18" t="s">
        <v>87</v>
      </c>
      <c r="F8" s="18" t="s">
        <v>87</v>
      </c>
      <c r="G8" s="18" t="s">
        <v>87</v>
      </c>
      <c r="H8" s="18" t="s">
        <v>87</v>
      </c>
      <c r="I8" s="18" t="s">
        <v>87</v>
      </c>
      <c r="J8" s="18" t="s">
        <v>87</v>
      </c>
      <c r="K8" s="18" t="s">
        <v>87</v>
      </c>
      <c r="L8" s="18" t="s">
        <v>87</v>
      </c>
      <c r="M8" s="18" t="s">
        <v>87</v>
      </c>
      <c r="N8" s="2"/>
    </row>
    <row r="9" customFormat="false" ht="18.75" hidden="false" customHeight="true" outlineLevel="0" collapsed="false">
      <c r="A9" s="2"/>
      <c r="B9" s="18" t="s">
        <v>87</v>
      </c>
      <c r="C9" s="18" t="s">
        <v>87</v>
      </c>
      <c r="D9" s="18" t="s">
        <v>87</v>
      </c>
      <c r="E9" s="18" t="s">
        <v>87</v>
      </c>
      <c r="F9" s="18" t="s">
        <v>87</v>
      </c>
      <c r="G9" s="18" t="s">
        <v>87</v>
      </c>
      <c r="H9" s="18" t="s">
        <v>87</v>
      </c>
      <c r="I9" s="18" t="s">
        <v>87</v>
      </c>
      <c r="J9" s="18" t="s">
        <v>87</v>
      </c>
      <c r="K9" s="18" t="s">
        <v>87</v>
      </c>
      <c r="L9" s="18" t="s">
        <v>87</v>
      </c>
      <c r="M9" s="18" t="s">
        <v>87</v>
      </c>
      <c r="N9" s="2"/>
    </row>
    <row r="10" customFormat="false" ht="18.75" hidden="false" customHeight="true" outlineLevel="0" collapsed="false">
      <c r="A10" s="2"/>
      <c r="B10" s="18" t="s">
        <v>87</v>
      </c>
      <c r="C10" s="18" t="s">
        <v>87</v>
      </c>
      <c r="D10" s="18" t="s">
        <v>87</v>
      </c>
      <c r="E10" s="18" t="s">
        <v>87</v>
      </c>
      <c r="F10" s="18" t="s">
        <v>87</v>
      </c>
      <c r="G10" s="18" t="s">
        <v>87</v>
      </c>
      <c r="H10" s="18" t="s">
        <v>87</v>
      </c>
      <c r="I10" s="18" t="s">
        <v>87</v>
      </c>
      <c r="J10" s="18" t="s">
        <v>87</v>
      </c>
      <c r="K10" s="18" t="s">
        <v>87</v>
      </c>
      <c r="L10" s="18" t="s">
        <v>87</v>
      </c>
      <c r="M10" s="18" t="s">
        <v>87</v>
      </c>
      <c r="N10" s="2"/>
    </row>
    <row r="11" customFormat="false" ht="18.75" hidden="false" customHeight="true" outlineLevel="0" collapsed="false">
      <c r="A11" s="2"/>
      <c r="B11" s="18" t="s">
        <v>87</v>
      </c>
      <c r="C11" s="18" t="s">
        <v>87</v>
      </c>
      <c r="D11" s="18" t="s">
        <v>87</v>
      </c>
      <c r="E11" s="18" t="s">
        <v>87</v>
      </c>
      <c r="F11" s="18" t="s">
        <v>87</v>
      </c>
      <c r="G11" s="18" t="s">
        <v>87</v>
      </c>
      <c r="H11" s="18" t="s">
        <v>87</v>
      </c>
      <c r="I11" s="18" t="s">
        <v>87</v>
      </c>
      <c r="J11" s="18" t="s">
        <v>87</v>
      </c>
      <c r="K11" s="18" t="s">
        <v>87</v>
      </c>
      <c r="L11" s="18" t="s">
        <v>87</v>
      </c>
      <c r="M11" s="18" t="s">
        <v>87</v>
      </c>
      <c r="N11" s="2"/>
    </row>
    <row r="12" customFormat="false" ht="18.75" hidden="false" customHeight="true" outlineLevel="0" collapsed="false">
      <c r="A12" s="2"/>
      <c r="B12" s="2"/>
      <c r="C12" s="2"/>
      <c r="D12" s="2"/>
      <c r="E12" s="2"/>
      <c r="F12" s="2"/>
      <c r="G12" s="2"/>
      <c r="H12" s="2"/>
      <c r="I12" s="2"/>
      <c r="J12" s="2"/>
      <c r="K12" s="2"/>
      <c r="L12" s="2"/>
      <c r="M12" s="2"/>
      <c r="N12" s="2"/>
    </row>
    <row r="13" customFormat="false" ht="18.75" hidden="false" customHeight="true" outlineLevel="0" collapsed="false">
      <c r="A13" s="2"/>
      <c r="B13" s="2"/>
      <c r="C13" s="2"/>
      <c r="D13" s="2"/>
      <c r="E13" s="2"/>
      <c r="F13" s="2"/>
      <c r="G13" s="2"/>
      <c r="H13" s="2"/>
      <c r="I13" s="2"/>
      <c r="J13" s="2"/>
      <c r="K13" s="2"/>
      <c r="L13" s="2"/>
      <c r="M13" s="2"/>
      <c r="N13" s="2"/>
    </row>
    <row r="14" customFormat="false" ht="18.75" hidden="false" customHeight="true" outlineLevel="0" collapsed="false">
      <c r="A14" s="2"/>
      <c r="B14" s="6" t="s">
        <v>88</v>
      </c>
      <c r="C14" s="6" t="s">
        <v>88</v>
      </c>
      <c r="D14" s="6" t="s">
        <v>88</v>
      </c>
      <c r="E14" s="6" t="s">
        <v>88</v>
      </c>
      <c r="F14" s="6" t="s">
        <v>88</v>
      </c>
      <c r="G14" s="6" t="s">
        <v>88</v>
      </c>
      <c r="H14" s="6" t="s">
        <v>88</v>
      </c>
      <c r="I14" s="6" t="s">
        <v>88</v>
      </c>
      <c r="J14" s="6" t="s">
        <v>88</v>
      </c>
      <c r="K14" s="6" t="s">
        <v>88</v>
      </c>
      <c r="L14" s="6" t="s">
        <v>88</v>
      </c>
      <c r="M14" s="6" t="s">
        <v>88</v>
      </c>
      <c r="N14" s="2"/>
    </row>
    <row r="15" customFormat="false" ht="18.75" hidden="false" customHeight="true" outlineLevel="0" collapsed="false">
      <c r="A15" s="2"/>
      <c r="B15" s="6" t="s">
        <v>88</v>
      </c>
      <c r="C15" s="6" t="s">
        <v>88</v>
      </c>
      <c r="D15" s="6" t="s">
        <v>88</v>
      </c>
      <c r="E15" s="6" t="s">
        <v>88</v>
      </c>
      <c r="F15" s="6" t="s">
        <v>88</v>
      </c>
      <c r="G15" s="6" t="s">
        <v>88</v>
      </c>
      <c r="H15" s="6" t="s">
        <v>88</v>
      </c>
      <c r="I15" s="6" t="s">
        <v>88</v>
      </c>
      <c r="J15" s="6" t="s">
        <v>88</v>
      </c>
      <c r="K15" s="6" t="s">
        <v>88</v>
      </c>
      <c r="L15" s="6" t="s">
        <v>88</v>
      </c>
      <c r="M15" s="6" t="s">
        <v>88</v>
      </c>
      <c r="N15" s="2"/>
    </row>
    <row r="16" customFormat="false" ht="18.75" hidden="false" customHeight="true" outlineLevel="0" collapsed="false">
      <c r="A16" s="2"/>
      <c r="B16" s="7" t="s">
        <v>89</v>
      </c>
      <c r="C16" s="7" t="s">
        <v>89</v>
      </c>
      <c r="D16" s="7" t="s">
        <v>89</v>
      </c>
      <c r="E16" s="7" t="s">
        <v>89</v>
      </c>
      <c r="F16" s="7" t="s">
        <v>89</v>
      </c>
      <c r="G16" s="7" t="s">
        <v>89</v>
      </c>
      <c r="H16" s="7" t="s">
        <v>89</v>
      </c>
      <c r="I16" s="7" t="s">
        <v>89</v>
      </c>
      <c r="J16" s="7" t="s">
        <v>89</v>
      </c>
      <c r="K16" s="7" t="s">
        <v>89</v>
      </c>
      <c r="L16" s="7" t="s">
        <v>89</v>
      </c>
      <c r="M16" s="7" t="s">
        <v>89</v>
      </c>
      <c r="N16" s="2"/>
    </row>
    <row r="17" customFormat="false" ht="18.75" hidden="false" customHeight="true" outlineLevel="0" collapsed="false">
      <c r="A17" s="2"/>
      <c r="B17" s="7" t="s">
        <v>89</v>
      </c>
      <c r="C17" s="7" t="s">
        <v>89</v>
      </c>
      <c r="D17" s="7" t="s">
        <v>89</v>
      </c>
      <c r="E17" s="7" t="s">
        <v>89</v>
      </c>
      <c r="F17" s="7" t="s">
        <v>89</v>
      </c>
      <c r="G17" s="7" t="s">
        <v>89</v>
      </c>
      <c r="H17" s="7" t="s">
        <v>89</v>
      </c>
      <c r="I17" s="7" t="s">
        <v>89</v>
      </c>
      <c r="J17" s="7" t="s">
        <v>89</v>
      </c>
      <c r="K17" s="7" t="s">
        <v>89</v>
      </c>
      <c r="L17" s="7" t="s">
        <v>89</v>
      </c>
      <c r="M17" s="7" t="s">
        <v>89</v>
      </c>
      <c r="N17" s="2"/>
    </row>
    <row r="18" customFormat="false" ht="18.75" hidden="false" customHeight="true" outlineLevel="0" collapsed="false">
      <c r="A18" s="2"/>
      <c r="B18" s="7" t="s">
        <v>89</v>
      </c>
      <c r="C18" s="7" t="s">
        <v>89</v>
      </c>
      <c r="D18" s="7" t="s">
        <v>89</v>
      </c>
      <c r="E18" s="7" t="s">
        <v>89</v>
      </c>
      <c r="F18" s="7" t="s">
        <v>89</v>
      </c>
      <c r="G18" s="7" t="s">
        <v>89</v>
      </c>
      <c r="H18" s="7" t="s">
        <v>89</v>
      </c>
      <c r="I18" s="7" t="s">
        <v>89</v>
      </c>
      <c r="J18" s="7" t="s">
        <v>89</v>
      </c>
      <c r="K18" s="7" t="s">
        <v>89</v>
      </c>
      <c r="L18" s="7" t="s">
        <v>89</v>
      </c>
      <c r="M18" s="7" t="s">
        <v>89</v>
      </c>
      <c r="N18" s="2"/>
    </row>
    <row r="19" customFormat="false" ht="18.75" hidden="false" customHeight="true" outlineLevel="0" collapsed="false">
      <c r="A19" s="2"/>
      <c r="B19" s="7" t="s">
        <v>89</v>
      </c>
      <c r="C19" s="7" t="s">
        <v>89</v>
      </c>
      <c r="D19" s="7" t="s">
        <v>89</v>
      </c>
      <c r="E19" s="7" t="s">
        <v>89</v>
      </c>
      <c r="F19" s="7" t="s">
        <v>89</v>
      </c>
      <c r="G19" s="7" t="s">
        <v>89</v>
      </c>
      <c r="H19" s="7" t="s">
        <v>89</v>
      </c>
      <c r="I19" s="7" t="s">
        <v>89</v>
      </c>
      <c r="J19" s="7" t="s">
        <v>89</v>
      </c>
      <c r="K19" s="7" t="s">
        <v>89</v>
      </c>
      <c r="L19" s="7" t="s">
        <v>89</v>
      </c>
      <c r="M19" s="7" t="s">
        <v>89</v>
      </c>
      <c r="N19" s="2"/>
    </row>
    <row r="20" customFormat="false" ht="18.75" hidden="false" customHeight="true" outlineLevel="0" collapsed="false">
      <c r="A20" s="2"/>
      <c r="B20" s="2"/>
      <c r="C20" s="2"/>
      <c r="D20" s="2"/>
      <c r="E20" s="2"/>
      <c r="F20" s="2"/>
      <c r="G20" s="2"/>
      <c r="H20" s="2"/>
      <c r="I20" s="2"/>
      <c r="J20" s="2"/>
      <c r="K20" s="2"/>
      <c r="L20" s="2"/>
      <c r="M20" s="2"/>
      <c r="N20" s="2"/>
    </row>
    <row r="21" customFormat="false" ht="18.75" hidden="false" customHeight="true" outlineLevel="0" collapsed="false">
      <c r="A21" s="2"/>
      <c r="B21" s="6" t="s">
        <v>90</v>
      </c>
      <c r="C21" s="6" t="s">
        <v>90</v>
      </c>
      <c r="D21" s="6" t="s">
        <v>90</v>
      </c>
      <c r="E21" s="6" t="s">
        <v>90</v>
      </c>
      <c r="F21" s="6" t="s">
        <v>90</v>
      </c>
      <c r="G21" s="6" t="s">
        <v>90</v>
      </c>
      <c r="H21" s="6" t="s">
        <v>90</v>
      </c>
      <c r="I21" s="6" t="s">
        <v>90</v>
      </c>
      <c r="J21" s="6" t="s">
        <v>90</v>
      </c>
      <c r="K21" s="6" t="s">
        <v>90</v>
      </c>
      <c r="L21" s="6" t="s">
        <v>90</v>
      </c>
      <c r="M21" s="6" t="s">
        <v>90</v>
      </c>
      <c r="N21" s="2"/>
    </row>
    <row r="22" customFormat="false" ht="18.75" hidden="false" customHeight="true" outlineLevel="0" collapsed="false">
      <c r="A22" s="2"/>
      <c r="B22" s="6" t="s">
        <v>90</v>
      </c>
      <c r="C22" s="6" t="s">
        <v>90</v>
      </c>
      <c r="D22" s="6" t="s">
        <v>90</v>
      </c>
      <c r="E22" s="6" t="s">
        <v>90</v>
      </c>
      <c r="F22" s="6" t="s">
        <v>90</v>
      </c>
      <c r="G22" s="6" t="s">
        <v>90</v>
      </c>
      <c r="H22" s="6" t="s">
        <v>90</v>
      </c>
      <c r="I22" s="6" t="s">
        <v>90</v>
      </c>
      <c r="J22" s="6" t="s">
        <v>90</v>
      </c>
      <c r="K22" s="6" t="s">
        <v>90</v>
      </c>
      <c r="L22" s="6" t="s">
        <v>90</v>
      </c>
      <c r="M22" s="6" t="s">
        <v>90</v>
      </c>
      <c r="N22" s="2"/>
    </row>
    <row r="23" customFormat="false" ht="18.75" hidden="false" customHeight="true" outlineLevel="0" collapsed="false">
      <c r="A23" s="2"/>
      <c r="B23" s="7" t="s">
        <v>91</v>
      </c>
      <c r="C23" s="7" t="s">
        <v>91</v>
      </c>
      <c r="D23" s="7" t="s">
        <v>91</v>
      </c>
      <c r="E23" s="7" t="s">
        <v>91</v>
      </c>
      <c r="F23" s="7" t="s">
        <v>91</v>
      </c>
      <c r="G23" s="7" t="s">
        <v>91</v>
      </c>
      <c r="H23" s="7" t="s">
        <v>91</v>
      </c>
      <c r="I23" s="7" t="s">
        <v>91</v>
      </c>
      <c r="J23" s="7" t="s">
        <v>91</v>
      </c>
      <c r="K23" s="7" t="s">
        <v>91</v>
      </c>
      <c r="L23" s="7" t="s">
        <v>91</v>
      </c>
      <c r="M23" s="7" t="s">
        <v>91</v>
      </c>
      <c r="N23" s="2"/>
    </row>
    <row r="24" customFormat="false" ht="18.75" hidden="false" customHeight="true" outlineLevel="0" collapsed="false">
      <c r="A24" s="2"/>
      <c r="B24" s="7" t="s">
        <v>91</v>
      </c>
      <c r="C24" s="7" t="s">
        <v>91</v>
      </c>
      <c r="D24" s="7" t="s">
        <v>91</v>
      </c>
      <c r="E24" s="7" t="s">
        <v>91</v>
      </c>
      <c r="F24" s="7" t="s">
        <v>91</v>
      </c>
      <c r="G24" s="7" t="s">
        <v>91</v>
      </c>
      <c r="H24" s="7" t="s">
        <v>91</v>
      </c>
      <c r="I24" s="7" t="s">
        <v>91</v>
      </c>
      <c r="J24" s="7" t="s">
        <v>91</v>
      </c>
      <c r="K24" s="7" t="s">
        <v>91</v>
      </c>
      <c r="L24" s="7" t="s">
        <v>91</v>
      </c>
      <c r="M24" s="7" t="s">
        <v>91</v>
      </c>
      <c r="N24" s="2"/>
    </row>
    <row r="25" customFormat="false" ht="18.75" hidden="false" customHeight="true" outlineLevel="0" collapsed="false">
      <c r="A25" s="2"/>
      <c r="B25" s="7" t="s">
        <v>91</v>
      </c>
      <c r="C25" s="7" t="s">
        <v>91</v>
      </c>
      <c r="D25" s="7" t="s">
        <v>91</v>
      </c>
      <c r="E25" s="7" t="s">
        <v>91</v>
      </c>
      <c r="F25" s="7" t="s">
        <v>91</v>
      </c>
      <c r="G25" s="7" t="s">
        <v>91</v>
      </c>
      <c r="H25" s="7" t="s">
        <v>91</v>
      </c>
      <c r="I25" s="7" t="s">
        <v>91</v>
      </c>
      <c r="J25" s="7" t="s">
        <v>91</v>
      </c>
      <c r="K25" s="7" t="s">
        <v>91</v>
      </c>
      <c r="L25" s="7" t="s">
        <v>91</v>
      </c>
      <c r="M25" s="7" t="s">
        <v>91</v>
      </c>
      <c r="N25" s="2"/>
    </row>
    <row r="26" customFormat="false" ht="18.75" hidden="false" customHeight="true" outlineLevel="0" collapsed="false">
      <c r="A26" s="2"/>
      <c r="B26" s="7" t="s">
        <v>91</v>
      </c>
      <c r="C26" s="7" t="s">
        <v>91</v>
      </c>
      <c r="D26" s="7" t="s">
        <v>91</v>
      </c>
      <c r="E26" s="7" t="s">
        <v>91</v>
      </c>
      <c r="F26" s="7" t="s">
        <v>91</v>
      </c>
      <c r="G26" s="7" t="s">
        <v>91</v>
      </c>
      <c r="H26" s="7" t="s">
        <v>91</v>
      </c>
      <c r="I26" s="7" t="s">
        <v>91</v>
      </c>
      <c r="J26" s="7" t="s">
        <v>91</v>
      </c>
      <c r="K26" s="7" t="s">
        <v>91</v>
      </c>
      <c r="L26" s="7" t="s">
        <v>91</v>
      </c>
      <c r="M26" s="7" t="s">
        <v>91</v>
      </c>
      <c r="N26" s="2"/>
    </row>
    <row r="27" customFormat="false" ht="18.75" hidden="false" customHeight="true" outlineLevel="0" collapsed="false">
      <c r="A27" s="2"/>
      <c r="B27" s="2"/>
      <c r="C27" s="2"/>
      <c r="D27" s="2"/>
      <c r="E27" s="2"/>
      <c r="F27" s="2"/>
      <c r="G27" s="2"/>
      <c r="H27" s="2"/>
      <c r="I27" s="2"/>
      <c r="J27" s="2"/>
      <c r="K27" s="2"/>
      <c r="L27" s="2"/>
      <c r="M27" s="2"/>
      <c r="N27" s="2"/>
    </row>
    <row r="28" customFormat="false" ht="18.75" hidden="false" customHeight="true" outlineLevel="0" collapsed="false">
      <c r="A28" s="2"/>
      <c r="B28" s="2"/>
      <c r="C28" s="2"/>
      <c r="D28" s="2"/>
      <c r="E28" s="2"/>
      <c r="F28" s="2"/>
      <c r="G28" s="2"/>
      <c r="H28" s="2"/>
      <c r="I28" s="2"/>
      <c r="J28" s="2"/>
      <c r="K28" s="2"/>
      <c r="L28" s="2"/>
      <c r="M28" s="2"/>
      <c r="N28" s="2"/>
    </row>
    <row r="29" customFormat="false" ht="18.75" hidden="false" customHeight="true" outlineLevel="0" collapsed="false">
      <c r="A29" s="2"/>
      <c r="B29" s="19" t="s">
        <v>92</v>
      </c>
      <c r="C29" s="19" t="s">
        <v>92</v>
      </c>
      <c r="D29" s="19" t="s">
        <v>92</v>
      </c>
      <c r="E29" s="19" t="s">
        <v>92</v>
      </c>
      <c r="F29" s="19" t="s">
        <v>92</v>
      </c>
      <c r="G29" s="19" t="s">
        <v>92</v>
      </c>
      <c r="H29" s="19" t="s">
        <v>92</v>
      </c>
      <c r="I29" s="19" t="s">
        <v>92</v>
      </c>
      <c r="J29" s="19" t="s">
        <v>92</v>
      </c>
      <c r="K29" s="19" t="s">
        <v>92</v>
      </c>
      <c r="L29" s="19" t="s">
        <v>92</v>
      </c>
      <c r="M29" s="19" t="s">
        <v>92</v>
      </c>
      <c r="N29" s="2"/>
    </row>
    <row r="30" customFormat="false" ht="18.75" hidden="false" customHeight="true" outlineLevel="0" collapsed="false">
      <c r="A30" s="2"/>
      <c r="B30" s="19" t="s">
        <v>92</v>
      </c>
      <c r="C30" s="19" t="s">
        <v>92</v>
      </c>
      <c r="D30" s="19" t="s">
        <v>92</v>
      </c>
      <c r="E30" s="19" t="s">
        <v>92</v>
      </c>
      <c r="F30" s="19" t="s">
        <v>92</v>
      </c>
      <c r="G30" s="19" t="s">
        <v>92</v>
      </c>
      <c r="H30" s="19" t="s">
        <v>92</v>
      </c>
      <c r="I30" s="19" t="s">
        <v>92</v>
      </c>
      <c r="J30" s="19" t="s">
        <v>92</v>
      </c>
      <c r="K30" s="19" t="s">
        <v>92</v>
      </c>
      <c r="L30" s="19" t="s">
        <v>92</v>
      </c>
      <c r="M30" s="19" t="s">
        <v>92</v>
      </c>
      <c r="N30" s="2"/>
    </row>
    <row r="31" customFormat="false" ht="18.75" hidden="false" customHeight="true" outlineLevel="0" collapsed="false">
      <c r="A31" s="2"/>
      <c r="B31" s="19" t="s">
        <v>92</v>
      </c>
      <c r="C31" s="19" t="s">
        <v>92</v>
      </c>
      <c r="D31" s="19" t="s">
        <v>92</v>
      </c>
      <c r="E31" s="19" t="s">
        <v>92</v>
      </c>
      <c r="F31" s="19" t="s">
        <v>92</v>
      </c>
      <c r="G31" s="19" t="s">
        <v>92</v>
      </c>
      <c r="H31" s="19" t="s">
        <v>92</v>
      </c>
      <c r="I31" s="19" t="s">
        <v>92</v>
      </c>
      <c r="J31" s="19" t="s">
        <v>92</v>
      </c>
      <c r="K31" s="19" t="s">
        <v>92</v>
      </c>
      <c r="L31" s="19" t="s">
        <v>92</v>
      </c>
      <c r="M31" s="19" t="s">
        <v>92</v>
      </c>
      <c r="N31" s="2"/>
    </row>
    <row r="32" customFormat="false" ht="18.75" hidden="false" customHeight="true" outlineLevel="0" collapsed="false">
      <c r="A32" s="2"/>
      <c r="B32" s="19" t="s">
        <v>92</v>
      </c>
      <c r="C32" s="19" t="s">
        <v>92</v>
      </c>
      <c r="D32" s="19" t="s">
        <v>92</v>
      </c>
      <c r="E32" s="19" t="s">
        <v>92</v>
      </c>
      <c r="F32" s="19" t="s">
        <v>92</v>
      </c>
      <c r="G32" s="19" t="s">
        <v>92</v>
      </c>
      <c r="H32" s="19" t="s">
        <v>92</v>
      </c>
      <c r="I32" s="19" t="s">
        <v>92</v>
      </c>
      <c r="J32" s="19" t="s">
        <v>92</v>
      </c>
      <c r="K32" s="19" t="s">
        <v>92</v>
      </c>
      <c r="L32" s="19" t="s">
        <v>92</v>
      </c>
      <c r="M32" s="19" t="s">
        <v>92</v>
      </c>
      <c r="N32" s="2"/>
    </row>
    <row r="33" customFormat="false" ht="18.75" hidden="false" customHeight="true" outlineLevel="0" collapsed="false">
      <c r="A33" s="2"/>
      <c r="B33" s="19" t="s">
        <v>92</v>
      </c>
      <c r="C33" s="19" t="s">
        <v>92</v>
      </c>
      <c r="D33" s="19" t="s">
        <v>92</v>
      </c>
      <c r="E33" s="19" t="s">
        <v>92</v>
      </c>
      <c r="F33" s="19" t="s">
        <v>92</v>
      </c>
      <c r="G33" s="19" t="s">
        <v>92</v>
      </c>
      <c r="H33" s="19" t="s">
        <v>92</v>
      </c>
      <c r="I33" s="19" t="s">
        <v>92</v>
      </c>
      <c r="J33" s="19" t="s">
        <v>92</v>
      </c>
      <c r="K33" s="19" t="s">
        <v>92</v>
      </c>
      <c r="L33" s="19" t="s">
        <v>92</v>
      </c>
      <c r="M33" s="19" t="s">
        <v>92</v>
      </c>
      <c r="N33" s="2"/>
    </row>
    <row r="34" customFormat="false" ht="18.75" hidden="false" customHeight="true" outlineLevel="0" collapsed="false">
      <c r="A34" s="2"/>
      <c r="B34" s="2"/>
      <c r="C34" s="2"/>
      <c r="D34" s="2"/>
      <c r="E34" s="2"/>
      <c r="F34" s="2"/>
      <c r="G34" s="2"/>
      <c r="H34" s="2"/>
      <c r="I34" s="2"/>
      <c r="J34" s="2"/>
      <c r="K34" s="2"/>
      <c r="L34" s="2"/>
      <c r="M34" s="2"/>
      <c r="N34" s="2"/>
    </row>
    <row r="35" customFormat="false" ht="18.75" hidden="false" customHeight="true" outlineLevel="0" collapsed="false">
      <c r="A35" s="2"/>
      <c r="B35" s="2"/>
      <c r="C35" s="2"/>
      <c r="D35" s="2"/>
      <c r="E35" s="2"/>
      <c r="F35" s="2"/>
      <c r="G35" s="2"/>
      <c r="H35" s="2"/>
      <c r="I35" s="2"/>
      <c r="J35" s="2"/>
      <c r="K35" s="2"/>
      <c r="L35" s="2"/>
      <c r="M35" s="2"/>
      <c r="N35" s="2"/>
    </row>
    <row r="36" customFormat="false" ht="18.75" hidden="false" customHeight="true" outlineLevel="0" collapsed="false">
      <c r="A36" s="2"/>
      <c r="B36" s="2"/>
      <c r="C36" s="2"/>
      <c r="D36" s="2"/>
      <c r="E36" s="2"/>
      <c r="F36" s="2"/>
      <c r="G36" s="2"/>
      <c r="H36" s="2"/>
      <c r="I36" s="2"/>
      <c r="J36" s="2"/>
      <c r="K36" s="2"/>
      <c r="L36" s="2"/>
      <c r="M36" s="2"/>
      <c r="N36" s="2"/>
    </row>
    <row r="37" customFormat="false" ht="18.75" hidden="false" customHeight="true" outlineLevel="0" collapsed="false">
      <c r="A37" s="2"/>
      <c r="B37" s="2"/>
      <c r="C37" s="2"/>
      <c r="D37" s="2"/>
      <c r="E37" s="2"/>
      <c r="F37" s="2"/>
      <c r="G37" s="2"/>
      <c r="H37" s="2"/>
      <c r="I37" s="2"/>
      <c r="J37" s="2"/>
      <c r="K37" s="2"/>
      <c r="L37" s="2"/>
      <c r="M37" s="2"/>
      <c r="N37" s="2"/>
    </row>
    <row r="38" customFormat="false" ht="18.75" hidden="false" customHeight="true" outlineLevel="0" collapsed="false">
      <c r="A38" s="2"/>
      <c r="B38" s="2"/>
      <c r="C38" s="2"/>
      <c r="D38" s="2"/>
      <c r="E38" s="2"/>
      <c r="F38" s="2"/>
      <c r="G38" s="2"/>
      <c r="H38" s="2"/>
      <c r="I38" s="2"/>
      <c r="J38" s="2"/>
      <c r="K38" s="2"/>
      <c r="L38" s="2"/>
      <c r="M38" s="2"/>
      <c r="N38" s="2"/>
    </row>
  </sheetData>
  <mergeCells count="8">
    <mergeCell ref="B2:M3"/>
    <mergeCell ref="B4:M4"/>
    <mergeCell ref="B6:M11"/>
    <mergeCell ref="B14:M15"/>
    <mergeCell ref="B16:M19"/>
    <mergeCell ref="B21:M22"/>
    <mergeCell ref="B23:M26"/>
    <mergeCell ref="B29:M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3.75"/>
    <col collapsed="false" customWidth="true" hidden="false" outlineLevel="0" max="3" min="3" style="1" width="11.89"/>
    <col collapsed="false" customWidth="true" hidden="false" outlineLevel="0" max="4" min="4" style="1" width="14.38"/>
    <col collapsed="false" customWidth="true" hidden="false" outlineLevel="0" max="5" min="5" style="1" width="25.63"/>
    <col collapsed="false" customWidth="true" hidden="false" outlineLevel="0" max="7" min="6" style="1" width="2.25"/>
    <col collapsed="false" customWidth="true" hidden="false" outlineLevel="0" max="8" min="8" style="1" width="25"/>
    <col collapsed="false" customWidth="true" hidden="false" outlineLevel="0" max="9" min="9" style="1" width="14"/>
    <col collapsed="false" customWidth="true" hidden="false" outlineLevel="0" max="10" min="10" style="1" width="13.75"/>
    <col collapsed="false" customWidth="true" hidden="false" outlineLevel="0" max="11" min="11" style="1" width="13.5"/>
    <col collapsed="false" customWidth="true" hidden="false" outlineLevel="0" max="13" min="12" style="1" width="11.25"/>
    <col collapsed="false" customWidth="true" hidden="false" outlineLevel="0" max="14" min="14" style="1" width="10"/>
  </cols>
  <sheetData>
    <row r="1" customFormat="false" ht="18.75" hidden="false" customHeight="true" outlineLevel="0" collapsed="false">
      <c r="A1" s="2"/>
      <c r="B1" s="2"/>
      <c r="C1" s="2"/>
      <c r="D1" s="2"/>
      <c r="E1" s="2"/>
      <c r="F1" s="2"/>
      <c r="G1" s="2"/>
      <c r="H1" s="2"/>
      <c r="I1" s="2"/>
      <c r="J1" s="2"/>
      <c r="K1" s="2"/>
      <c r="L1" s="2"/>
      <c r="M1" s="2"/>
      <c r="N1" s="2"/>
    </row>
    <row r="2" customFormat="false" ht="18.75" hidden="false" customHeight="true" outlineLevel="0" collapsed="false">
      <c r="A2" s="2"/>
      <c r="B2" s="3" t="s">
        <v>93</v>
      </c>
      <c r="C2" s="3" t="s">
        <v>93</v>
      </c>
      <c r="D2" s="3" t="s">
        <v>93</v>
      </c>
      <c r="E2" s="3" t="s">
        <v>93</v>
      </c>
      <c r="F2" s="3" t="s">
        <v>93</v>
      </c>
      <c r="G2" s="3" t="s">
        <v>93</v>
      </c>
      <c r="H2" s="3" t="s">
        <v>93</v>
      </c>
      <c r="I2" s="3" t="s">
        <v>93</v>
      </c>
      <c r="J2" s="3" t="s">
        <v>93</v>
      </c>
      <c r="K2" s="3" t="s">
        <v>93</v>
      </c>
      <c r="L2" s="3" t="s">
        <v>93</v>
      </c>
      <c r="M2" s="3" t="s">
        <v>93</v>
      </c>
      <c r="N2" s="2"/>
    </row>
    <row r="3" customFormat="false" ht="18.75" hidden="false" customHeight="true" outlineLevel="0" collapsed="false">
      <c r="A3" s="2"/>
      <c r="B3" s="3" t="s">
        <v>93</v>
      </c>
      <c r="C3" s="3" t="s">
        <v>93</v>
      </c>
      <c r="D3" s="3" t="s">
        <v>93</v>
      </c>
      <c r="E3" s="3" t="s">
        <v>93</v>
      </c>
      <c r="F3" s="3" t="s">
        <v>93</v>
      </c>
      <c r="G3" s="3" t="s">
        <v>93</v>
      </c>
      <c r="H3" s="3" t="s">
        <v>93</v>
      </c>
      <c r="I3" s="3" t="s">
        <v>93</v>
      </c>
      <c r="J3" s="3" t="s">
        <v>93</v>
      </c>
      <c r="K3" s="3" t="s">
        <v>93</v>
      </c>
      <c r="L3" s="3" t="s">
        <v>93</v>
      </c>
      <c r="M3" s="3" t="s">
        <v>93</v>
      </c>
      <c r="N3" s="2"/>
    </row>
    <row r="4" customFormat="false" ht="18.75" hidden="false" customHeight="true" outlineLevel="0" collapsed="false">
      <c r="A4" s="2"/>
      <c r="B4" s="4" t="s">
        <v>94</v>
      </c>
      <c r="C4" s="4" t="s">
        <v>94</v>
      </c>
      <c r="D4" s="4" t="s">
        <v>94</v>
      </c>
      <c r="E4" s="4" t="s">
        <v>94</v>
      </c>
      <c r="F4" s="4" t="s">
        <v>94</v>
      </c>
      <c r="G4" s="4" t="s">
        <v>94</v>
      </c>
      <c r="H4" s="4" t="s">
        <v>94</v>
      </c>
      <c r="I4" s="4" t="s">
        <v>94</v>
      </c>
      <c r="J4" s="4" t="s">
        <v>94</v>
      </c>
      <c r="K4" s="4" t="s">
        <v>94</v>
      </c>
      <c r="L4" s="4" t="s">
        <v>94</v>
      </c>
      <c r="M4" s="4" t="s">
        <v>94</v>
      </c>
      <c r="N4" s="2"/>
    </row>
    <row r="5" customFormat="false" ht="18.75" hidden="false" customHeight="true" outlineLevel="0" collapsed="false">
      <c r="A5" s="2"/>
      <c r="B5" s="2"/>
      <c r="C5" s="2"/>
      <c r="D5" s="2"/>
      <c r="E5" s="2"/>
      <c r="F5" s="2"/>
      <c r="G5" s="2"/>
      <c r="H5" s="2"/>
      <c r="I5" s="2"/>
      <c r="J5" s="2"/>
      <c r="K5" s="2"/>
      <c r="L5" s="2"/>
      <c r="M5" s="2"/>
      <c r="N5" s="2"/>
    </row>
    <row r="6" customFormat="false" ht="18.75" hidden="false" customHeight="true" outlineLevel="0" collapsed="false">
      <c r="A6" s="2"/>
      <c r="B6" s="18" t="s">
        <v>95</v>
      </c>
      <c r="C6" s="18" t="s">
        <v>96</v>
      </c>
      <c r="D6" s="18" t="s">
        <v>96</v>
      </c>
      <c r="E6" s="18" t="s">
        <v>96</v>
      </c>
      <c r="F6" s="18" t="s">
        <v>96</v>
      </c>
      <c r="G6" s="18" t="s">
        <v>96</v>
      </c>
      <c r="H6" s="18" t="s">
        <v>96</v>
      </c>
      <c r="I6" s="20" t="s">
        <v>97</v>
      </c>
      <c r="J6" s="20" t="s">
        <v>97</v>
      </c>
      <c r="K6" s="20" t="s">
        <v>97</v>
      </c>
      <c r="L6" s="21" t="s">
        <v>98</v>
      </c>
      <c r="M6" s="21" t="s">
        <v>98</v>
      </c>
      <c r="N6" s="2"/>
    </row>
    <row r="7" customFormat="false" ht="18.75" hidden="false" customHeight="true" outlineLevel="0" collapsed="false">
      <c r="A7" s="2"/>
      <c r="B7" s="18" t="s">
        <v>96</v>
      </c>
      <c r="C7" s="18" t="s">
        <v>96</v>
      </c>
      <c r="D7" s="18" t="s">
        <v>96</v>
      </c>
      <c r="E7" s="18" t="s">
        <v>96</v>
      </c>
      <c r="F7" s="18" t="s">
        <v>96</v>
      </c>
      <c r="G7" s="18" t="s">
        <v>96</v>
      </c>
      <c r="H7" s="18" t="s">
        <v>96</v>
      </c>
      <c r="I7" s="22" t="n">
        <f aca="false">ROUND(K30*C32,0)</f>
        <v>470</v>
      </c>
      <c r="J7" s="22"/>
      <c r="K7" s="22"/>
      <c r="L7" s="23" t="n">
        <f aca="false">ROUND(K32*C32,0)</f>
        <v>491</v>
      </c>
      <c r="M7" s="23"/>
      <c r="N7" s="2"/>
    </row>
    <row r="8" customFormat="false" ht="18.75" hidden="false" customHeight="true" outlineLevel="0" collapsed="false">
      <c r="A8" s="2"/>
      <c r="B8" s="18" t="s">
        <v>96</v>
      </c>
      <c r="C8" s="18" t="s">
        <v>96</v>
      </c>
      <c r="D8" s="18" t="s">
        <v>96</v>
      </c>
      <c r="E8" s="18" t="s">
        <v>96</v>
      </c>
      <c r="F8" s="18" t="s">
        <v>96</v>
      </c>
      <c r="G8" s="18" t="s">
        <v>96</v>
      </c>
      <c r="H8" s="18" t="s">
        <v>96</v>
      </c>
      <c r="I8" s="22"/>
      <c r="J8" s="22"/>
      <c r="K8" s="22"/>
      <c r="L8" s="23"/>
      <c r="M8" s="23"/>
      <c r="N8" s="2"/>
    </row>
    <row r="9" customFormat="false" ht="18.75" hidden="false" customHeight="true" outlineLevel="0" collapsed="false">
      <c r="A9" s="2"/>
      <c r="B9" s="2"/>
      <c r="C9" s="2"/>
      <c r="D9" s="2"/>
      <c r="E9" s="2"/>
      <c r="F9" s="2"/>
      <c r="G9" s="2"/>
      <c r="H9" s="2"/>
      <c r="I9" s="2"/>
      <c r="J9" s="2"/>
      <c r="K9" s="2"/>
      <c r="L9" s="2"/>
      <c r="M9" s="2"/>
      <c r="N9" s="2"/>
    </row>
    <row r="10" customFormat="false" ht="18.75" hidden="false" customHeight="true" outlineLevel="0" collapsed="false">
      <c r="A10" s="2"/>
      <c r="B10" s="24" t="s">
        <v>99</v>
      </c>
      <c r="C10" s="24" t="s">
        <v>99</v>
      </c>
      <c r="D10" s="24" t="s">
        <v>99</v>
      </c>
      <c r="E10" s="24" t="s">
        <v>99</v>
      </c>
      <c r="F10" s="24" t="s">
        <v>99</v>
      </c>
      <c r="G10" s="24" t="s">
        <v>99</v>
      </c>
      <c r="H10" s="24" t="s">
        <v>99</v>
      </c>
      <c r="I10" s="24" t="s">
        <v>99</v>
      </c>
      <c r="J10" s="24" t="s">
        <v>99</v>
      </c>
      <c r="K10" s="24" t="s">
        <v>99</v>
      </c>
      <c r="L10" s="24" t="s">
        <v>99</v>
      </c>
      <c r="M10" s="24" t="s">
        <v>99</v>
      </c>
      <c r="N10" s="2"/>
    </row>
    <row r="11" customFormat="false" ht="18.75" hidden="false" customHeight="true" outlineLevel="0" collapsed="false">
      <c r="A11" s="2"/>
      <c r="B11" s="24" t="s">
        <v>99</v>
      </c>
      <c r="C11" s="24" t="s">
        <v>99</v>
      </c>
      <c r="D11" s="24" t="s">
        <v>99</v>
      </c>
      <c r="E11" s="24" t="s">
        <v>99</v>
      </c>
      <c r="F11" s="24" t="s">
        <v>99</v>
      </c>
      <c r="G11" s="24" t="s">
        <v>99</v>
      </c>
      <c r="H11" s="24" t="s">
        <v>99</v>
      </c>
      <c r="I11" s="24" t="s">
        <v>99</v>
      </c>
      <c r="J11" s="24" t="s">
        <v>99</v>
      </c>
      <c r="K11" s="24" t="s">
        <v>99</v>
      </c>
      <c r="L11" s="24" t="s">
        <v>99</v>
      </c>
      <c r="M11" s="24" t="s">
        <v>99</v>
      </c>
      <c r="N11" s="2"/>
    </row>
    <row r="12" customFormat="false" ht="18.75" hidden="false" customHeight="true" outlineLevel="0" collapsed="false">
      <c r="A12" s="2"/>
      <c r="B12" s="24" t="s">
        <v>99</v>
      </c>
      <c r="C12" s="24" t="s">
        <v>99</v>
      </c>
      <c r="D12" s="24" t="s">
        <v>99</v>
      </c>
      <c r="E12" s="24" t="s">
        <v>99</v>
      </c>
      <c r="F12" s="24" t="s">
        <v>99</v>
      </c>
      <c r="G12" s="24" t="s">
        <v>99</v>
      </c>
      <c r="H12" s="24" t="s">
        <v>99</v>
      </c>
      <c r="I12" s="24" t="s">
        <v>99</v>
      </c>
      <c r="J12" s="24" t="s">
        <v>99</v>
      </c>
      <c r="K12" s="24" t="s">
        <v>99</v>
      </c>
      <c r="L12" s="24" t="s">
        <v>99</v>
      </c>
      <c r="M12" s="24" t="s">
        <v>99</v>
      </c>
      <c r="N12" s="2"/>
    </row>
    <row r="13" customFormat="false" ht="18.75" hidden="false" customHeight="true" outlineLevel="0" collapsed="false">
      <c r="A13" s="2"/>
      <c r="B13" s="2"/>
      <c r="C13" s="2"/>
      <c r="D13" s="2"/>
      <c r="E13" s="2"/>
      <c r="F13" s="2"/>
      <c r="G13" s="2"/>
      <c r="H13" s="2"/>
      <c r="I13" s="2"/>
      <c r="J13" s="2"/>
      <c r="K13" s="2"/>
      <c r="L13" s="2"/>
      <c r="M13" s="2"/>
      <c r="N13" s="2"/>
    </row>
    <row r="14" customFormat="false" ht="18.75" hidden="false" customHeight="true" outlineLevel="0" collapsed="false">
      <c r="A14" s="2"/>
      <c r="B14" s="2"/>
      <c r="C14" s="2"/>
      <c r="D14" s="2"/>
      <c r="E14" s="2"/>
      <c r="F14" s="2"/>
      <c r="G14" s="2"/>
      <c r="H14" s="2"/>
      <c r="I14" s="2"/>
      <c r="J14" s="2"/>
      <c r="K14" s="2"/>
      <c r="L14" s="2"/>
      <c r="M14" s="2"/>
      <c r="N14" s="2"/>
    </row>
    <row r="15" customFormat="false" ht="22.5" hidden="false" customHeight="true" outlineLevel="0" collapsed="false">
      <c r="A15" s="2"/>
      <c r="B15" s="25" t="s">
        <v>100</v>
      </c>
      <c r="C15" s="25" t="s">
        <v>101</v>
      </c>
      <c r="D15" s="25" t="s">
        <v>102</v>
      </c>
      <c r="E15" s="25" t="s">
        <v>103</v>
      </c>
      <c r="F15" s="2"/>
      <c r="G15" s="2"/>
      <c r="H15" s="25" t="s">
        <v>104</v>
      </c>
      <c r="I15" s="25" t="s">
        <v>105</v>
      </c>
      <c r="J15" s="25" t="s">
        <v>106</v>
      </c>
      <c r="K15" s="25" t="s">
        <v>107</v>
      </c>
      <c r="L15" s="2"/>
      <c r="M15" s="2"/>
      <c r="N15" s="2"/>
    </row>
    <row r="16" customFormat="false" ht="22.5" hidden="false" customHeight="true" outlineLevel="0" collapsed="false">
      <c r="A16" s="2"/>
      <c r="B16" s="9" t="s">
        <v>108</v>
      </c>
      <c r="C16" s="26" t="n">
        <v>1000</v>
      </c>
      <c r="D16" s="9" t="s">
        <v>109</v>
      </c>
      <c r="E16" s="9" t="s">
        <v>110</v>
      </c>
      <c r="F16" s="9"/>
      <c r="G16" s="9"/>
      <c r="H16" s="9" t="s">
        <v>111</v>
      </c>
      <c r="I16" s="27" t="n">
        <v>0.072</v>
      </c>
      <c r="J16" s="9" t="s">
        <v>112</v>
      </c>
      <c r="K16" s="28" t="n">
        <f aca="false">C16*C17/1000000*I16</f>
        <v>0.72</v>
      </c>
      <c r="L16" s="2"/>
      <c r="M16" s="2"/>
      <c r="N16" s="2"/>
    </row>
    <row r="17" customFormat="false" ht="22.5" hidden="false" customHeight="true" outlineLevel="0" collapsed="false">
      <c r="A17" s="2"/>
      <c r="B17" s="9" t="s">
        <v>113</v>
      </c>
      <c r="C17" s="26" t="n">
        <v>10000</v>
      </c>
      <c r="D17" s="9" t="s">
        <v>114</v>
      </c>
      <c r="E17" s="9" t="s">
        <v>115</v>
      </c>
      <c r="F17" s="9"/>
      <c r="G17" s="9"/>
      <c r="H17" s="9" t="s">
        <v>116</v>
      </c>
      <c r="I17" s="27" t="n">
        <v>0.288</v>
      </c>
      <c r="J17" s="9" t="s">
        <v>112</v>
      </c>
      <c r="K17" s="28" t="n">
        <f aca="false">C16*C18/1000000*I17</f>
        <v>0.288</v>
      </c>
      <c r="L17" s="2"/>
      <c r="M17" s="2"/>
      <c r="N17" s="2"/>
    </row>
    <row r="18" customFormat="false" ht="22.5" hidden="false" customHeight="true" outlineLevel="0" collapsed="false">
      <c r="A18" s="2"/>
      <c r="B18" s="9" t="s">
        <v>117</v>
      </c>
      <c r="C18" s="26" t="n">
        <v>1000</v>
      </c>
      <c r="D18" s="9" t="s">
        <v>114</v>
      </c>
      <c r="E18" s="9" t="s">
        <v>118</v>
      </c>
      <c r="F18" s="9"/>
      <c r="G18" s="9"/>
      <c r="H18" s="9" t="s">
        <v>119</v>
      </c>
      <c r="I18" s="27" t="n">
        <v>0.029</v>
      </c>
      <c r="J18" s="9" t="s">
        <v>112</v>
      </c>
      <c r="K18" s="28" t="n">
        <f aca="false">(C16*C19+C20)/1000000*I18</f>
        <v>0.0058</v>
      </c>
      <c r="L18" s="2"/>
      <c r="M18" s="2"/>
      <c r="N18" s="2"/>
    </row>
    <row r="19" customFormat="false" ht="22.5" hidden="false" customHeight="true" outlineLevel="0" collapsed="false">
      <c r="A19" s="2"/>
      <c r="B19" s="9" t="s">
        <v>120</v>
      </c>
      <c r="C19" s="26" t="n">
        <v>100</v>
      </c>
      <c r="D19" s="9" t="s">
        <v>114</v>
      </c>
      <c r="E19" s="9" t="s">
        <v>121</v>
      </c>
      <c r="F19" s="9"/>
      <c r="G19" s="9"/>
      <c r="H19" s="9" t="s">
        <v>122</v>
      </c>
      <c r="I19" s="27" t="n">
        <v>0.025</v>
      </c>
      <c r="J19" s="9" t="s">
        <v>123</v>
      </c>
      <c r="K19" s="28" t="n">
        <f aca="false">C22*I19</f>
        <v>0.025</v>
      </c>
      <c r="L19" s="2"/>
      <c r="M19" s="2"/>
      <c r="N19" s="2"/>
    </row>
    <row r="20" customFormat="false" ht="22.5" hidden="false" customHeight="true" outlineLevel="0" collapsed="false">
      <c r="A20" s="2"/>
      <c r="B20" s="9" t="s">
        <v>124</v>
      </c>
      <c r="C20" s="26" t="n">
        <v>100000</v>
      </c>
      <c r="D20" s="9" t="s">
        <v>114</v>
      </c>
      <c r="E20" s="9" t="s">
        <v>125</v>
      </c>
      <c r="F20" s="9"/>
      <c r="G20" s="9"/>
      <c r="H20" s="9" t="s">
        <v>126</v>
      </c>
      <c r="I20" s="28" t="n">
        <v>0.0047</v>
      </c>
      <c r="J20" s="9" t="s">
        <v>127</v>
      </c>
      <c r="K20" s="28" t="n">
        <f aca="false">C27/1000*I20</f>
        <v>0.0047</v>
      </c>
      <c r="L20" s="2"/>
      <c r="M20" s="2"/>
      <c r="N20" s="2"/>
    </row>
    <row r="21" customFormat="false" ht="22.5" hidden="false" customHeight="true" outlineLevel="0" collapsed="false">
      <c r="A21" s="2"/>
      <c r="B21" s="9" t="s">
        <v>128</v>
      </c>
      <c r="C21" s="26" t="n">
        <v>1000000</v>
      </c>
      <c r="D21" s="9" t="s">
        <v>114</v>
      </c>
      <c r="E21" s="9" t="s">
        <v>129</v>
      </c>
      <c r="F21" s="9"/>
      <c r="G21" s="9"/>
      <c r="H21" s="9" t="s">
        <v>130</v>
      </c>
      <c r="I21" s="29" t="n">
        <v>0.00037</v>
      </c>
      <c r="J21" s="9" t="s">
        <v>127</v>
      </c>
      <c r="K21" s="28" t="n">
        <f aca="false">C28/1000*I21</f>
        <v>0.0037</v>
      </c>
      <c r="L21" s="2"/>
      <c r="M21" s="2"/>
      <c r="N21" s="2"/>
    </row>
    <row r="22" customFormat="false" ht="22.5" hidden="false" customHeight="true" outlineLevel="0" collapsed="false">
      <c r="A22" s="2"/>
      <c r="B22" s="9" t="s">
        <v>131</v>
      </c>
      <c r="C22" s="26" t="n">
        <v>1</v>
      </c>
      <c r="D22" s="9" t="s">
        <v>132</v>
      </c>
      <c r="E22" s="9" t="s">
        <v>133</v>
      </c>
      <c r="F22" s="9"/>
      <c r="G22" s="9"/>
      <c r="H22" s="9" t="s">
        <v>134</v>
      </c>
      <c r="I22" s="27" t="n">
        <v>0.066</v>
      </c>
      <c r="J22" s="9" t="s">
        <v>123</v>
      </c>
      <c r="K22" s="28" t="n">
        <f aca="false">C23*I22</f>
        <v>0.00132</v>
      </c>
      <c r="L22" s="2"/>
      <c r="M22" s="2"/>
      <c r="N22" s="2"/>
    </row>
    <row r="23" customFormat="false" ht="22.5" hidden="false" customHeight="true" outlineLevel="0" collapsed="false">
      <c r="A23" s="2"/>
      <c r="B23" s="9" t="s">
        <v>135</v>
      </c>
      <c r="C23" s="30" t="n">
        <v>0.02</v>
      </c>
      <c r="D23" s="9" t="s">
        <v>132</v>
      </c>
      <c r="E23" s="9" t="s">
        <v>136</v>
      </c>
      <c r="F23" s="9"/>
      <c r="G23" s="9"/>
      <c r="H23" s="9" t="s">
        <v>137</v>
      </c>
      <c r="I23" s="27" t="n">
        <v>0.219</v>
      </c>
      <c r="J23" s="9" t="s">
        <v>132</v>
      </c>
      <c r="K23" s="28" t="n">
        <f aca="false">C25*I23</f>
        <v>0.0219</v>
      </c>
      <c r="L23" s="2"/>
      <c r="M23" s="2"/>
      <c r="N23" s="2"/>
    </row>
    <row r="24" customFormat="false" ht="22.5" hidden="false" customHeight="true" outlineLevel="0" collapsed="false">
      <c r="A24" s="2"/>
      <c r="B24" s="9" t="s">
        <v>138</v>
      </c>
      <c r="C24" s="30" t="n">
        <v>0.01</v>
      </c>
      <c r="D24" s="9" t="s">
        <v>132</v>
      </c>
      <c r="E24" s="9" t="s">
        <v>139</v>
      </c>
      <c r="F24" s="9"/>
      <c r="G24" s="9"/>
      <c r="H24" s="9" t="s">
        <v>140</v>
      </c>
      <c r="I24" s="28" t="n">
        <v>0.0027</v>
      </c>
      <c r="J24" s="9" t="s">
        <v>127</v>
      </c>
      <c r="K24" s="28" t="n">
        <f aca="false">C16/1000*I24</f>
        <v>0.0027</v>
      </c>
      <c r="L24" s="2"/>
      <c r="M24" s="2"/>
      <c r="N24" s="2"/>
    </row>
    <row r="25" customFormat="false" ht="22.5" hidden="false" customHeight="true" outlineLevel="0" collapsed="false">
      <c r="A25" s="2"/>
      <c r="B25" s="9" t="s">
        <v>141</v>
      </c>
      <c r="C25" s="31" t="n">
        <v>0.1</v>
      </c>
      <c r="D25" s="9" t="s">
        <v>142</v>
      </c>
      <c r="E25" s="9" t="s">
        <v>143</v>
      </c>
      <c r="F25" s="9"/>
      <c r="G25" s="9"/>
      <c r="H25" s="9" t="s">
        <v>144</v>
      </c>
      <c r="I25" s="32" t="n">
        <v>4.278E-006</v>
      </c>
      <c r="J25" s="9" t="s">
        <v>132</v>
      </c>
      <c r="K25" s="28" t="n">
        <f aca="false">C16*C24*I25</f>
        <v>4.278E-005</v>
      </c>
      <c r="L25" s="2"/>
      <c r="M25" s="2"/>
      <c r="N25" s="2"/>
    </row>
    <row r="26" customFormat="false" ht="22.5" hidden="false" customHeight="true" outlineLevel="0" collapsed="false">
      <c r="A26" s="2"/>
      <c r="B26" s="9" t="s">
        <v>145</v>
      </c>
      <c r="C26" s="31" t="n">
        <v>0.5</v>
      </c>
      <c r="D26" s="9" t="s">
        <v>142</v>
      </c>
      <c r="E26" s="9" t="s">
        <v>146</v>
      </c>
      <c r="F26" s="9"/>
      <c r="G26" s="9"/>
      <c r="H26" s="9" t="s">
        <v>147</v>
      </c>
      <c r="I26" s="33" t="n">
        <v>0.01</v>
      </c>
      <c r="J26" s="9" t="s">
        <v>142</v>
      </c>
      <c r="K26" s="28" t="n">
        <f aca="false">C29*I26</f>
        <v>0</v>
      </c>
      <c r="L26" s="2"/>
      <c r="M26" s="2"/>
      <c r="N26" s="2"/>
    </row>
    <row r="27" customFormat="false" ht="22.5" hidden="false" customHeight="true" outlineLevel="0" collapsed="false">
      <c r="A27" s="2"/>
      <c r="B27" s="9" t="s">
        <v>148</v>
      </c>
      <c r="C27" s="26" t="n">
        <v>1000</v>
      </c>
      <c r="D27" s="9" t="s">
        <v>149</v>
      </c>
      <c r="E27" s="9" t="s">
        <v>150</v>
      </c>
      <c r="F27" s="9"/>
      <c r="G27" s="9"/>
      <c r="H27" s="9" t="s">
        <v>151</v>
      </c>
      <c r="I27" s="33" t="n">
        <v>0.06</v>
      </c>
      <c r="J27" s="9" t="s">
        <v>127</v>
      </c>
      <c r="K27" s="28" t="n">
        <f aca="false">C30/1000*I27</f>
        <v>0.06</v>
      </c>
      <c r="L27" s="2"/>
      <c r="M27" s="2"/>
      <c r="N27" s="2"/>
    </row>
    <row r="28" customFormat="false" ht="22.5" hidden="false" customHeight="true" outlineLevel="0" collapsed="false">
      <c r="A28" s="2"/>
      <c r="B28" s="9" t="s">
        <v>152</v>
      </c>
      <c r="C28" s="26" t="n">
        <v>10000</v>
      </c>
      <c r="D28" s="9" t="s">
        <v>149</v>
      </c>
      <c r="E28" s="9" t="s">
        <v>153</v>
      </c>
      <c r="F28" s="9"/>
      <c r="G28" s="9"/>
      <c r="H28" s="9"/>
      <c r="I28" s="9"/>
      <c r="J28" s="9"/>
      <c r="K28" s="28"/>
      <c r="L28" s="2"/>
      <c r="M28" s="2"/>
      <c r="N28" s="2"/>
    </row>
    <row r="29" customFormat="false" ht="22.5" hidden="false" customHeight="true" outlineLevel="0" collapsed="false">
      <c r="A29" s="2"/>
      <c r="B29" s="9" t="s">
        <v>154</v>
      </c>
      <c r="C29" s="26" t="n">
        <v>0</v>
      </c>
      <c r="D29" s="9" t="s">
        <v>142</v>
      </c>
      <c r="E29" s="9" t="s">
        <v>155</v>
      </c>
      <c r="F29" s="9"/>
      <c r="G29" s="9"/>
      <c r="H29" s="34" t="s">
        <v>156</v>
      </c>
      <c r="I29" s="34"/>
      <c r="J29" s="34"/>
      <c r="K29" s="35" t="n">
        <f aca="false">SUM(K16:K27)</f>
        <v>1.13316278</v>
      </c>
      <c r="L29" s="2"/>
      <c r="M29" s="2"/>
      <c r="N29" s="2"/>
    </row>
    <row r="30" customFormat="false" ht="22.5" hidden="false" customHeight="true" outlineLevel="0" collapsed="false">
      <c r="A30" s="2"/>
      <c r="B30" s="9" t="s">
        <v>151</v>
      </c>
      <c r="C30" s="26" t="n">
        <v>1000</v>
      </c>
      <c r="D30" s="9" t="s">
        <v>149</v>
      </c>
      <c r="E30" s="9" t="s">
        <v>157</v>
      </c>
      <c r="F30" s="9"/>
      <c r="G30" s="9"/>
      <c r="H30" s="34" t="s">
        <v>158</v>
      </c>
      <c r="I30" s="34"/>
      <c r="J30" s="34"/>
      <c r="K30" s="35" t="n">
        <f aca="false">K29+C31</f>
        <v>3.13316278</v>
      </c>
      <c r="L30" s="2"/>
      <c r="M30" s="2"/>
      <c r="N30" s="2"/>
    </row>
    <row r="31" customFormat="false" ht="22.5" hidden="false" customHeight="true" outlineLevel="0" collapsed="false">
      <c r="A31" s="2"/>
      <c r="B31" s="9" t="s">
        <v>159</v>
      </c>
      <c r="C31" s="26" t="n">
        <v>2</v>
      </c>
      <c r="D31" s="9" t="s">
        <v>160</v>
      </c>
      <c r="E31" s="9" t="s">
        <v>161</v>
      </c>
      <c r="F31" s="9"/>
      <c r="G31" s="9"/>
      <c r="H31" s="34" t="s">
        <v>162</v>
      </c>
      <c r="I31" s="34"/>
      <c r="J31" s="34"/>
      <c r="K31" s="35" t="n">
        <f aca="false">C21/1000000*I18+C26*I23</f>
        <v>0.1385</v>
      </c>
      <c r="L31" s="2"/>
      <c r="M31" s="2"/>
      <c r="N31" s="2"/>
    </row>
    <row r="32" customFormat="false" ht="22.5" hidden="false" customHeight="true" outlineLevel="0" collapsed="false">
      <c r="A32" s="2"/>
      <c r="B32" s="9" t="s">
        <v>163</v>
      </c>
      <c r="C32" s="26" t="n">
        <v>150</v>
      </c>
      <c r="D32" s="9" t="s">
        <v>164</v>
      </c>
      <c r="E32" s="9" t="s">
        <v>165</v>
      </c>
      <c r="F32" s="9"/>
      <c r="G32" s="9"/>
      <c r="H32" s="34" t="s">
        <v>166</v>
      </c>
      <c r="I32" s="34"/>
      <c r="J32" s="34"/>
      <c r="K32" s="35" t="n">
        <f aca="false">K30+K31</f>
        <v>3.27166278</v>
      </c>
      <c r="L32" s="2"/>
      <c r="M32" s="2"/>
      <c r="N32" s="2"/>
    </row>
    <row r="33" customFormat="false" ht="18.75" hidden="false" customHeight="true" outlineLevel="0" collapsed="false">
      <c r="A33" s="2"/>
      <c r="B33" s="2"/>
      <c r="C33" s="2"/>
      <c r="D33" s="2"/>
      <c r="E33" s="2"/>
      <c r="F33" s="2"/>
      <c r="G33" s="2"/>
      <c r="H33" s="2"/>
      <c r="I33" s="2"/>
      <c r="J33" s="2"/>
      <c r="K33" s="2"/>
      <c r="L33" s="2"/>
      <c r="M33" s="2"/>
      <c r="N33" s="2"/>
    </row>
    <row r="34" customFormat="false" ht="18.75" hidden="false" customHeight="true" outlineLevel="0" collapsed="false">
      <c r="A34" s="2"/>
      <c r="B34" s="8" t="s">
        <v>167</v>
      </c>
      <c r="C34" s="8" t="s">
        <v>167</v>
      </c>
      <c r="D34" s="8" t="s">
        <v>167</v>
      </c>
      <c r="E34" s="8" t="s">
        <v>167</v>
      </c>
      <c r="F34" s="8" t="s">
        <v>167</v>
      </c>
      <c r="G34" s="8" t="s">
        <v>167</v>
      </c>
      <c r="H34" s="8" t="s">
        <v>167</v>
      </c>
      <c r="I34" s="8" t="s">
        <v>167</v>
      </c>
      <c r="J34" s="8" t="s">
        <v>167</v>
      </c>
      <c r="K34" s="8" t="s">
        <v>167</v>
      </c>
      <c r="L34" s="8" t="s">
        <v>167</v>
      </c>
      <c r="M34" s="8" t="s">
        <v>167</v>
      </c>
      <c r="N34" s="2"/>
    </row>
    <row r="35" customFormat="false" ht="18.75" hidden="false" customHeight="true" outlineLevel="0" collapsed="false">
      <c r="A35" s="2"/>
      <c r="B35" s="8" t="s">
        <v>167</v>
      </c>
      <c r="C35" s="8" t="s">
        <v>167</v>
      </c>
      <c r="D35" s="8" t="s">
        <v>167</v>
      </c>
      <c r="E35" s="8" t="s">
        <v>167</v>
      </c>
      <c r="F35" s="8" t="s">
        <v>167</v>
      </c>
      <c r="G35" s="8" t="s">
        <v>167</v>
      </c>
      <c r="H35" s="8" t="s">
        <v>167</v>
      </c>
      <c r="I35" s="8" t="s">
        <v>167</v>
      </c>
      <c r="J35" s="8" t="s">
        <v>167</v>
      </c>
      <c r="K35" s="8" t="s">
        <v>167</v>
      </c>
      <c r="L35" s="8" t="s">
        <v>167</v>
      </c>
      <c r="M35" s="8" t="s">
        <v>167</v>
      </c>
      <c r="N35" s="2"/>
    </row>
    <row r="36" customFormat="false" ht="18.75" hidden="false" customHeight="true" outlineLevel="0" collapsed="false">
      <c r="A36" s="2"/>
      <c r="B36" s="8" t="s">
        <v>167</v>
      </c>
      <c r="C36" s="8" t="s">
        <v>167</v>
      </c>
      <c r="D36" s="8" t="s">
        <v>167</v>
      </c>
      <c r="E36" s="8" t="s">
        <v>167</v>
      </c>
      <c r="F36" s="8" t="s">
        <v>167</v>
      </c>
      <c r="G36" s="8" t="s">
        <v>167</v>
      </c>
      <c r="H36" s="8" t="s">
        <v>167</v>
      </c>
      <c r="I36" s="8" t="s">
        <v>167</v>
      </c>
      <c r="J36" s="8" t="s">
        <v>167</v>
      </c>
      <c r="K36" s="8" t="s">
        <v>167</v>
      </c>
      <c r="L36" s="8" t="s">
        <v>167</v>
      </c>
      <c r="M36" s="8" t="s">
        <v>167</v>
      </c>
      <c r="N36" s="2"/>
    </row>
    <row r="37" customFormat="false" ht="18.75" hidden="false" customHeight="true" outlineLevel="0" collapsed="false">
      <c r="A37" s="2"/>
      <c r="B37" s="2"/>
      <c r="C37" s="2"/>
      <c r="D37" s="2"/>
      <c r="E37" s="2"/>
      <c r="F37" s="2"/>
      <c r="G37" s="2"/>
      <c r="H37" s="2"/>
      <c r="I37" s="2"/>
      <c r="J37" s="2"/>
      <c r="K37" s="2"/>
      <c r="L37" s="2"/>
      <c r="M37" s="2"/>
      <c r="N37" s="2"/>
    </row>
    <row r="38" customFormat="false" ht="18.75" hidden="false" customHeight="true" outlineLevel="0" collapsed="false">
      <c r="A38" s="2"/>
      <c r="B38" s="4" t="s">
        <v>168</v>
      </c>
      <c r="C38" s="4" t="s">
        <v>168</v>
      </c>
      <c r="D38" s="4" t="s">
        <v>168</v>
      </c>
      <c r="E38" s="4" t="s">
        <v>168</v>
      </c>
      <c r="F38" s="4" t="s">
        <v>168</v>
      </c>
      <c r="G38" s="4" t="s">
        <v>168</v>
      </c>
      <c r="H38" s="4" t="s">
        <v>168</v>
      </c>
      <c r="I38" s="4" t="s">
        <v>168</v>
      </c>
      <c r="J38" s="4" t="s">
        <v>168</v>
      </c>
      <c r="K38" s="4" t="s">
        <v>168</v>
      </c>
      <c r="L38" s="4" t="s">
        <v>168</v>
      </c>
      <c r="M38" s="4" t="s">
        <v>168</v>
      </c>
      <c r="N38" s="2"/>
    </row>
    <row r="39" customFormat="false" ht="15" hidden="false" customHeight="false" outlineLevel="0" collapsed="false">
      <c r="B39" s="4" t="s">
        <v>168</v>
      </c>
      <c r="C39" s="4" t="s">
        <v>168</v>
      </c>
      <c r="D39" s="4" t="s">
        <v>168</v>
      </c>
      <c r="E39" s="4" t="s">
        <v>168</v>
      </c>
      <c r="F39" s="4" t="s">
        <v>168</v>
      </c>
      <c r="G39" s="4" t="s">
        <v>168</v>
      </c>
      <c r="H39" s="4" t="s">
        <v>168</v>
      </c>
      <c r="I39" s="4" t="s">
        <v>168</v>
      </c>
      <c r="J39" s="4" t="s">
        <v>168</v>
      </c>
      <c r="K39" s="4" t="s">
        <v>168</v>
      </c>
      <c r="L39" s="4" t="s">
        <v>168</v>
      </c>
      <c r="M39" s="4" t="s">
        <v>168</v>
      </c>
    </row>
    <row r="40" customFormat="false" ht="15" hidden="false" customHeight="false" outlineLevel="0" collapsed="false">
      <c r="B40" s="4" t="s">
        <v>168</v>
      </c>
      <c r="C40" s="4" t="s">
        <v>168</v>
      </c>
      <c r="D40" s="4" t="s">
        <v>168</v>
      </c>
      <c r="E40" s="4" t="s">
        <v>168</v>
      </c>
      <c r="F40" s="4" t="s">
        <v>168</v>
      </c>
      <c r="G40" s="4" t="s">
        <v>168</v>
      </c>
      <c r="H40" s="4" t="s">
        <v>168</v>
      </c>
      <c r="I40" s="4" t="s">
        <v>168</v>
      </c>
      <c r="J40" s="4" t="s">
        <v>168</v>
      </c>
      <c r="K40" s="4" t="s">
        <v>168</v>
      </c>
      <c r="L40" s="4" t="s">
        <v>168</v>
      </c>
      <c r="M40" s="4" t="s">
        <v>168</v>
      </c>
    </row>
    <row r="43" customFormat="false" ht="15" hidden="false" customHeight="true" outlineLevel="0" collapsed="false">
      <c r="B43" s="16" t="s">
        <v>169</v>
      </c>
      <c r="C43" s="16"/>
      <c r="D43" s="16"/>
      <c r="E43" s="16"/>
      <c r="F43" s="16"/>
      <c r="G43" s="16"/>
      <c r="H43" s="16"/>
      <c r="I43" s="16"/>
      <c r="J43" s="16"/>
      <c r="K43" s="16"/>
      <c r="L43" s="16"/>
      <c r="M43" s="16"/>
    </row>
    <row r="44" customFormat="false" ht="15" hidden="false" customHeight="false" outlineLevel="0" collapsed="false">
      <c r="B44" s="16"/>
      <c r="C44" s="16"/>
      <c r="D44" s="16"/>
      <c r="E44" s="16"/>
      <c r="F44" s="16"/>
      <c r="G44" s="16"/>
      <c r="H44" s="16"/>
      <c r="I44" s="16"/>
      <c r="J44" s="16"/>
      <c r="K44" s="16"/>
      <c r="L44" s="16"/>
      <c r="M44" s="16"/>
    </row>
    <row r="45" customFormat="false" ht="15" hidden="false" customHeight="false" outlineLevel="0" collapsed="false">
      <c r="B45" s="16"/>
      <c r="C45" s="16"/>
      <c r="D45" s="16"/>
      <c r="E45" s="16"/>
      <c r="F45" s="16"/>
      <c r="G45" s="16"/>
      <c r="H45" s="16"/>
      <c r="I45" s="16"/>
      <c r="J45" s="16"/>
      <c r="K45" s="16"/>
      <c r="L45" s="16"/>
      <c r="M45" s="16"/>
    </row>
    <row r="46" customFormat="false" ht="15" hidden="false" customHeight="false" outlineLevel="0" collapsed="false">
      <c r="B46" s="16"/>
      <c r="C46" s="16"/>
      <c r="D46" s="16"/>
      <c r="E46" s="16"/>
      <c r="F46" s="16"/>
      <c r="G46" s="16"/>
      <c r="H46" s="16"/>
      <c r="I46" s="16"/>
      <c r="J46" s="16"/>
      <c r="K46" s="16"/>
      <c r="L46" s="16"/>
      <c r="M46" s="16"/>
    </row>
    <row r="47" customFormat="false" ht="15" hidden="false" customHeight="false" outlineLevel="0" collapsed="false">
      <c r="B47" s="16"/>
      <c r="C47" s="16"/>
      <c r="D47" s="16"/>
      <c r="E47" s="16"/>
      <c r="F47" s="16"/>
      <c r="G47" s="16"/>
      <c r="H47" s="16"/>
      <c r="I47" s="16"/>
      <c r="J47" s="16"/>
      <c r="K47" s="16"/>
      <c r="L47" s="16"/>
      <c r="M47" s="16"/>
    </row>
    <row r="48" customFormat="false" ht="15" hidden="false" customHeight="false" outlineLevel="0" collapsed="false">
      <c r="B48" s="16"/>
      <c r="C48" s="16"/>
      <c r="D48" s="16"/>
      <c r="E48" s="16"/>
      <c r="F48" s="16"/>
      <c r="G48" s="16"/>
      <c r="H48" s="16"/>
      <c r="I48" s="16"/>
      <c r="J48" s="16"/>
      <c r="K48" s="16"/>
      <c r="L48" s="16"/>
      <c r="M48" s="16"/>
    </row>
  </sheetData>
  <mergeCells count="15">
    <mergeCell ref="B2:M3"/>
    <mergeCell ref="B4:M4"/>
    <mergeCell ref="B6:H8"/>
    <mergeCell ref="I6:K6"/>
    <mergeCell ref="L6:M6"/>
    <mergeCell ref="I7:K8"/>
    <mergeCell ref="L7:M8"/>
    <mergeCell ref="B10:M12"/>
    <mergeCell ref="H29:J29"/>
    <mergeCell ref="H30:J30"/>
    <mergeCell ref="H31:J31"/>
    <mergeCell ref="H32:J32"/>
    <mergeCell ref="B34:M36"/>
    <mergeCell ref="B38:M40"/>
    <mergeCell ref="B43:M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4" min="1" style="1" width="10"/>
  </cols>
  <sheetData>
    <row r="1" customFormat="false" ht="18.75" hidden="false" customHeight="true" outlineLevel="0" collapsed="false">
      <c r="A1" s="2"/>
      <c r="B1" s="2"/>
      <c r="C1" s="2"/>
      <c r="D1" s="2"/>
      <c r="E1" s="2"/>
      <c r="F1" s="2"/>
      <c r="G1" s="2"/>
      <c r="H1" s="2"/>
      <c r="I1" s="2"/>
      <c r="J1" s="2"/>
      <c r="K1" s="2"/>
      <c r="L1" s="2"/>
      <c r="M1" s="2"/>
      <c r="N1" s="2"/>
    </row>
    <row r="2" customFormat="false" ht="18.75" hidden="false" customHeight="true" outlineLevel="0" collapsed="false">
      <c r="A2" s="2"/>
      <c r="B2" s="3" t="s">
        <v>170</v>
      </c>
      <c r="C2" s="3" t="s">
        <v>170</v>
      </c>
      <c r="D2" s="3" t="s">
        <v>170</v>
      </c>
      <c r="E2" s="3" t="s">
        <v>170</v>
      </c>
      <c r="F2" s="3" t="s">
        <v>170</v>
      </c>
      <c r="G2" s="3" t="s">
        <v>170</v>
      </c>
      <c r="H2" s="3" t="s">
        <v>170</v>
      </c>
      <c r="I2" s="3" t="s">
        <v>170</v>
      </c>
      <c r="J2" s="3" t="s">
        <v>170</v>
      </c>
      <c r="K2" s="3" t="s">
        <v>170</v>
      </c>
      <c r="L2" s="3" t="s">
        <v>170</v>
      </c>
      <c r="M2" s="3" t="s">
        <v>170</v>
      </c>
      <c r="N2" s="2"/>
    </row>
    <row r="3" customFormat="false" ht="18.75" hidden="false" customHeight="true" outlineLevel="0" collapsed="false">
      <c r="A3" s="2"/>
      <c r="B3" s="3" t="s">
        <v>170</v>
      </c>
      <c r="C3" s="3" t="s">
        <v>170</v>
      </c>
      <c r="D3" s="3" t="s">
        <v>170</v>
      </c>
      <c r="E3" s="3" t="s">
        <v>170</v>
      </c>
      <c r="F3" s="3" t="s">
        <v>170</v>
      </c>
      <c r="G3" s="3" t="s">
        <v>170</v>
      </c>
      <c r="H3" s="3" t="s">
        <v>170</v>
      </c>
      <c r="I3" s="3" t="s">
        <v>170</v>
      </c>
      <c r="J3" s="3" t="s">
        <v>170</v>
      </c>
      <c r="K3" s="3" t="s">
        <v>170</v>
      </c>
      <c r="L3" s="3" t="s">
        <v>170</v>
      </c>
      <c r="M3" s="3" t="s">
        <v>170</v>
      </c>
      <c r="N3" s="2"/>
    </row>
    <row r="4" customFormat="false" ht="18.75" hidden="false" customHeight="true" outlineLevel="0" collapsed="false">
      <c r="A4" s="2"/>
      <c r="B4" s="4" t="s">
        <v>171</v>
      </c>
      <c r="C4" s="4" t="s">
        <v>171</v>
      </c>
      <c r="D4" s="4" t="s">
        <v>171</v>
      </c>
      <c r="E4" s="4" t="s">
        <v>171</v>
      </c>
      <c r="F4" s="4" t="s">
        <v>171</v>
      </c>
      <c r="G4" s="4" t="s">
        <v>171</v>
      </c>
      <c r="H4" s="4" t="s">
        <v>171</v>
      </c>
      <c r="I4" s="4" t="s">
        <v>171</v>
      </c>
      <c r="J4" s="4" t="s">
        <v>171</v>
      </c>
      <c r="K4" s="4" t="s">
        <v>171</v>
      </c>
      <c r="L4" s="4" t="s">
        <v>171</v>
      </c>
      <c r="M4" s="4" t="s">
        <v>171</v>
      </c>
      <c r="N4" s="2"/>
    </row>
    <row r="5" customFormat="false" ht="18.75" hidden="false" customHeight="true" outlineLevel="0" collapsed="false">
      <c r="A5" s="2"/>
      <c r="B5" s="2"/>
      <c r="C5" s="2"/>
      <c r="D5" s="2"/>
      <c r="E5" s="2"/>
      <c r="F5" s="2"/>
      <c r="G5" s="2"/>
      <c r="H5" s="2"/>
      <c r="I5" s="2"/>
      <c r="J5" s="2"/>
      <c r="K5" s="2"/>
      <c r="L5" s="2"/>
      <c r="M5" s="2"/>
      <c r="N5" s="2"/>
    </row>
    <row r="6" customFormat="false" ht="18.75" hidden="false" customHeight="true" outlineLevel="0" collapsed="false">
      <c r="A6" s="2"/>
      <c r="B6" s="18" t="s">
        <v>172</v>
      </c>
      <c r="C6" s="18" t="s">
        <v>172</v>
      </c>
      <c r="D6" s="18" t="s">
        <v>172</v>
      </c>
      <c r="E6" s="18" t="s">
        <v>172</v>
      </c>
      <c r="F6" s="18" t="s">
        <v>172</v>
      </c>
      <c r="G6" s="18" t="s">
        <v>172</v>
      </c>
      <c r="H6" s="18" t="s">
        <v>172</v>
      </c>
      <c r="I6" s="18" t="s">
        <v>172</v>
      </c>
      <c r="J6" s="18" t="s">
        <v>172</v>
      </c>
      <c r="K6" s="18" t="s">
        <v>172</v>
      </c>
      <c r="L6" s="18" t="s">
        <v>172</v>
      </c>
      <c r="M6" s="18" t="s">
        <v>172</v>
      </c>
      <c r="N6" s="2"/>
    </row>
    <row r="7" customFormat="false" ht="18.75" hidden="false" customHeight="true" outlineLevel="0" collapsed="false">
      <c r="A7" s="2"/>
      <c r="B7" s="18" t="s">
        <v>172</v>
      </c>
      <c r="C7" s="18" t="s">
        <v>172</v>
      </c>
      <c r="D7" s="18" t="s">
        <v>172</v>
      </c>
      <c r="E7" s="18" t="s">
        <v>172</v>
      </c>
      <c r="F7" s="18" t="s">
        <v>172</v>
      </c>
      <c r="G7" s="18" t="s">
        <v>172</v>
      </c>
      <c r="H7" s="18" t="s">
        <v>172</v>
      </c>
      <c r="I7" s="18" t="s">
        <v>172</v>
      </c>
      <c r="J7" s="18" t="s">
        <v>172</v>
      </c>
      <c r="K7" s="18" t="s">
        <v>172</v>
      </c>
      <c r="L7" s="18" t="s">
        <v>172</v>
      </c>
      <c r="M7" s="18" t="s">
        <v>172</v>
      </c>
      <c r="N7" s="2"/>
    </row>
    <row r="8" customFormat="false" ht="18.75" hidden="false" customHeight="true" outlineLevel="0" collapsed="false">
      <c r="A8" s="2"/>
      <c r="B8" s="18" t="s">
        <v>172</v>
      </c>
      <c r="C8" s="18" t="s">
        <v>172</v>
      </c>
      <c r="D8" s="18" t="s">
        <v>172</v>
      </c>
      <c r="E8" s="18" t="s">
        <v>172</v>
      </c>
      <c r="F8" s="18" t="s">
        <v>172</v>
      </c>
      <c r="G8" s="18" t="s">
        <v>172</v>
      </c>
      <c r="H8" s="18" t="s">
        <v>172</v>
      </c>
      <c r="I8" s="18" t="s">
        <v>172</v>
      </c>
      <c r="J8" s="18" t="s">
        <v>172</v>
      </c>
      <c r="K8" s="18" t="s">
        <v>172</v>
      </c>
      <c r="L8" s="18" t="s">
        <v>172</v>
      </c>
      <c r="M8" s="18" t="s">
        <v>172</v>
      </c>
      <c r="N8" s="2"/>
    </row>
    <row r="9" customFormat="false" ht="18.75" hidden="false" customHeight="true" outlineLevel="0" collapsed="false">
      <c r="A9" s="2"/>
      <c r="B9" s="18" t="s">
        <v>172</v>
      </c>
      <c r="C9" s="18" t="s">
        <v>172</v>
      </c>
      <c r="D9" s="18" t="s">
        <v>172</v>
      </c>
      <c r="E9" s="18" t="s">
        <v>172</v>
      </c>
      <c r="F9" s="18" t="s">
        <v>172</v>
      </c>
      <c r="G9" s="18" t="s">
        <v>172</v>
      </c>
      <c r="H9" s="18" t="s">
        <v>172</v>
      </c>
      <c r="I9" s="18" t="s">
        <v>172</v>
      </c>
      <c r="J9" s="18" t="s">
        <v>172</v>
      </c>
      <c r="K9" s="18" t="s">
        <v>172</v>
      </c>
      <c r="L9" s="18" t="s">
        <v>172</v>
      </c>
      <c r="M9" s="18" t="s">
        <v>172</v>
      </c>
      <c r="N9" s="2"/>
    </row>
    <row r="10" customFormat="false" ht="18.75" hidden="false" customHeight="true" outlineLevel="0" collapsed="false">
      <c r="A10" s="2"/>
      <c r="B10" s="18" t="s">
        <v>172</v>
      </c>
      <c r="C10" s="18" t="s">
        <v>172</v>
      </c>
      <c r="D10" s="18" t="s">
        <v>172</v>
      </c>
      <c r="E10" s="18" t="s">
        <v>172</v>
      </c>
      <c r="F10" s="18" t="s">
        <v>172</v>
      </c>
      <c r="G10" s="18" t="s">
        <v>172</v>
      </c>
      <c r="H10" s="18" t="s">
        <v>172</v>
      </c>
      <c r="I10" s="18" t="s">
        <v>172</v>
      </c>
      <c r="J10" s="18" t="s">
        <v>172</v>
      </c>
      <c r="K10" s="18" t="s">
        <v>172</v>
      </c>
      <c r="L10" s="18" t="s">
        <v>172</v>
      </c>
      <c r="M10" s="18" t="s">
        <v>172</v>
      </c>
      <c r="N10" s="2"/>
    </row>
    <row r="11" customFormat="false" ht="18.75" hidden="false" customHeight="true" outlineLevel="0" collapsed="false">
      <c r="A11" s="2"/>
      <c r="B11" s="18" t="s">
        <v>172</v>
      </c>
      <c r="C11" s="18" t="s">
        <v>172</v>
      </c>
      <c r="D11" s="18" t="s">
        <v>172</v>
      </c>
      <c r="E11" s="18" t="s">
        <v>172</v>
      </c>
      <c r="F11" s="18" t="s">
        <v>172</v>
      </c>
      <c r="G11" s="18" t="s">
        <v>172</v>
      </c>
      <c r="H11" s="18" t="s">
        <v>172</v>
      </c>
      <c r="I11" s="18" t="s">
        <v>172</v>
      </c>
      <c r="J11" s="18" t="s">
        <v>172</v>
      </c>
      <c r="K11" s="18" t="s">
        <v>172</v>
      </c>
      <c r="L11" s="18" t="s">
        <v>172</v>
      </c>
      <c r="M11" s="18" t="s">
        <v>172</v>
      </c>
      <c r="N11" s="2"/>
    </row>
    <row r="12" customFormat="false" ht="18.75" hidden="false" customHeight="true" outlineLevel="0" collapsed="false">
      <c r="A12" s="2"/>
      <c r="B12" s="2"/>
      <c r="C12" s="2"/>
      <c r="D12" s="2"/>
      <c r="E12" s="2"/>
      <c r="F12" s="2"/>
      <c r="G12" s="2"/>
      <c r="H12" s="2"/>
      <c r="I12" s="2"/>
      <c r="J12" s="2"/>
      <c r="K12" s="2"/>
      <c r="L12" s="2"/>
      <c r="M12" s="2"/>
      <c r="N12" s="2"/>
    </row>
    <row r="13" customFormat="false" ht="18.75" hidden="false" customHeight="true" outlineLevel="0" collapsed="false">
      <c r="A13" s="2"/>
      <c r="B13" s="2"/>
      <c r="C13" s="2"/>
      <c r="D13" s="2"/>
      <c r="E13" s="2"/>
      <c r="F13" s="2"/>
      <c r="G13" s="2"/>
      <c r="H13" s="2"/>
      <c r="I13" s="2"/>
      <c r="J13" s="2"/>
      <c r="K13" s="2"/>
      <c r="L13" s="2"/>
      <c r="M13" s="2"/>
      <c r="N13" s="2"/>
    </row>
    <row r="14" customFormat="false" ht="18.75" hidden="false" customHeight="true" outlineLevel="0" collapsed="false">
      <c r="A14" s="2"/>
      <c r="B14" s="6" t="s">
        <v>173</v>
      </c>
      <c r="C14" s="6" t="s">
        <v>173</v>
      </c>
      <c r="D14" s="6" t="s">
        <v>173</v>
      </c>
      <c r="E14" s="6" t="s">
        <v>173</v>
      </c>
      <c r="F14" s="6" t="s">
        <v>173</v>
      </c>
      <c r="G14" s="6" t="s">
        <v>173</v>
      </c>
      <c r="H14" s="6" t="s">
        <v>173</v>
      </c>
      <c r="I14" s="6" t="s">
        <v>173</v>
      </c>
      <c r="J14" s="6" t="s">
        <v>173</v>
      </c>
      <c r="K14" s="6" t="s">
        <v>173</v>
      </c>
      <c r="L14" s="6" t="s">
        <v>173</v>
      </c>
      <c r="M14" s="6" t="s">
        <v>173</v>
      </c>
      <c r="N14" s="2"/>
    </row>
    <row r="15" customFormat="false" ht="18.75" hidden="false" customHeight="true" outlineLevel="0" collapsed="false">
      <c r="A15" s="2"/>
      <c r="B15" s="6" t="s">
        <v>173</v>
      </c>
      <c r="C15" s="6" t="s">
        <v>173</v>
      </c>
      <c r="D15" s="6" t="s">
        <v>173</v>
      </c>
      <c r="E15" s="6" t="s">
        <v>173</v>
      </c>
      <c r="F15" s="6" t="s">
        <v>173</v>
      </c>
      <c r="G15" s="6" t="s">
        <v>173</v>
      </c>
      <c r="H15" s="6" t="s">
        <v>173</v>
      </c>
      <c r="I15" s="6" t="s">
        <v>173</v>
      </c>
      <c r="J15" s="6" t="s">
        <v>173</v>
      </c>
      <c r="K15" s="6" t="s">
        <v>173</v>
      </c>
      <c r="L15" s="6" t="s">
        <v>173</v>
      </c>
      <c r="M15" s="6" t="s">
        <v>173</v>
      </c>
      <c r="N15" s="2"/>
    </row>
    <row r="16" customFormat="false" ht="18.75" hidden="false" customHeight="true" outlineLevel="0" collapsed="false">
      <c r="A16" s="2"/>
      <c r="B16" s="7" t="s">
        <v>174</v>
      </c>
      <c r="C16" s="7" t="s">
        <v>174</v>
      </c>
      <c r="D16" s="7" t="s">
        <v>174</v>
      </c>
      <c r="E16" s="7" t="s">
        <v>174</v>
      </c>
      <c r="F16" s="7" t="s">
        <v>174</v>
      </c>
      <c r="G16" s="7" t="s">
        <v>174</v>
      </c>
      <c r="H16" s="7" t="s">
        <v>174</v>
      </c>
      <c r="I16" s="7" t="s">
        <v>174</v>
      </c>
      <c r="J16" s="7" t="s">
        <v>174</v>
      </c>
      <c r="K16" s="7" t="s">
        <v>174</v>
      </c>
      <c r="L16" s="7" t="s">
        <v>174</v>
      </c>
      <c r="M16" s="7" t="s">
        <v>174</v>
      </c>
      <c r="N16" s="2"/>
    </row>
    <row r="17" customFormat="false" ht="18.75" hidden="false" customHeight="true" outlineLevel="0" collapsed="false">
      <c r="A17" s="2"/>
      <c r="B17" s="7" t="s">
        <v>174</v>
      </c>
      <c r="C17" s="7" t="s">
        <v>174</v>
      </c>
      <c r="D17" s="7" t="s">
        <v>174</v>
      </c>
      <c r="E17" s="7" t="s">
        <v>174</v>
      </c>
      <c r="F17" s="7" t="s">
        <v>174</v>
      </c>
      <c r="G17" s="7" t="s">
        <v>174</v>
      </c>
      <c r="H17" s="7" t="s">
        <v>174</v>
      </c>
      <c r="I17" s="7" t="s">
        <v>174</v>
      </c>
      <c r="J17" s="7" t="s">
        <v>174</v>
      </c>
      <c r="K17" s="7" t="s">
        <v>174</v>
      </c>
      <c r="L17" s="7" t="s">
        <v>174</v>
      </c>
      <c r="M17" s="7" t="s">
        <v>174</v>
      </c>
      <c r="N17" s="2"/>
    </row>
    <row r="18" customFormat="false" ht="18.75" hidden="false" customHeight="true" outlineLevel="0" collapsed="false">
      <c r="A18" s="2"/>
      <c r="B18" s="7" t="s">
        <v>174</v>
      </c>
      <c r="C18" s="7" t="s">
        <v>174</v>
      </c>
      <c r="D18" s="7" t="s">
        <v>174</v>
      </c>
      <c r="E18" s="7" t="s">
        <v>174</v>
      </c>
      <c r="F18" s="7" t="s">
        <v>174</v>
      </c>
      <c r="G18" s="7" t="s">
        <v>174</v>
      </c>
      <c r="H18" s="7" t="s">
        <v>174</v>
      </c>
      <c r="I18" s="7" t="s">
        <v>174</v>
      </c>
      <c r="J18" s="7" t="s">
        <v>174</v>
      </c>
      <c r="K18" s="7" t="s">
        <v>174</v>
      </c>
      <c r="L18" s="7" t="s">
        <v>174</v>
      </c>
      <c r="M18" s="7" t="s">
        <v>174</v>
      </c>
      <c r="N18" s="2"/>
    </row>
    <row r="19" customFormat="false" ht="18.75" hidden="false" customHeight="true" outlineLevel="0" collapsed="false">
      <c r="A19" s="2"/>
      <c r="B19" s="7" t="s">
        <v>174</v>
      </c>
      <c r="C19" s="7" t="s">
        <v>174</v>
      </c>
      <c r="D19" s="7" t="s">
        <v>174</v>
      </c>
      <c r="E19" s="7" t="s">
        <v>174</v>
      </c>
      <c r="F19" s="7" t="s">
        <v>174</v>
      </c>
      <c r="G19" s="7" t="s">
        <v>174</v>
      </c>
      <c r="H19" s="7" t="s">
        <v>174</v>
      </c>
      <c r="I19" s="7" t="s">
        <v>174</v>
      </c>
      <c r="J19" s="7" t="s">
        <v>174</v>
      </c>
      <c r="K19" s="7" t="s">
        <v>174</v>
      </c>
      <c r="L19" s="7" t="s">
        <v>174</v>
      </c>
      <c r="M19" s="7" t="s">
        <v>174</v>
      </c>
      <c r="N19" s="2"/>
    </row>
    <row r="20" customFormat="false" ht="18.75" hidden="false" customHeight="true" outlineLevel="0" collapsed="false">
      <c r="A20" s="2"/>
      <c r="B20" s="2"/>
      <c r="C20" s="2"/>
      <c r="D20" s="2"/>
      <c r="E20" s="2"/>
      <c r="F20" s="2"/>
      <c r="G20" s="2"/>
      <c r="H20" s="2"/>
      <c r="I20" s="2"/>
      <c r="J20" s="2"/>
      <c r="K20" s="2"/>
      <c r="L20" s="2"/>
      <c r="M20" s="2"/>
      <c r="N20" s="2"/>
    </row>
    <row r="21" customFormat="false" ht="18.75" hidden="false" customHeight="true" outlineLevel="0" collapsed="false">
      <c r="A21" s="2"/>
      <c r="B21" s="6" t="s">
        <v>175</v>
      </c>
      <c r="C21" s="6" t="s">
        <v>175</v>
      </c>
      <c r="D21" s="6" t="s">
        <v>175</v>
      </c>
      <c r="E21" s="6" t="s">
        <v>175</v>
      </c>
      <c r="F21" s="6" t="s">
        <v>175</v>
      </c>
      <c r="G21" s="6" t="s">
        <v>175</v>
      </c>
      <c r="H21" s="6" t="s">
        <v>175</v>
      </c>
      <c r="I21" s="6" t="s">
        <v>175</v>
      </c>
      <c r="J21" s="6" t="s">
        <v>175</v>
      </c>
      <c r="K21" s="6" t="s">
        <v>175</v>
      </c>
      <c r="L21" s="6" t="s">
        <v>175</v>
      </c>
      <c r="M21" s="6" t="s">
        <v>175</v>
      </c>
      <c r="N21" s="2"/>
    </row>
    <row r="22" customFormat="false" ht="18.75" hidden="false" customHeight="true" outlineLevel="0" collapsed="false">
      <c r="A22" s="2"/>
      <c r="B22" s="6" t="s">
        <v>175</v>
      </c>
      <c r="C22" s="6" t="s">
        <v>175</v>
      </c>
      <c r="D22" s="6" t="s">
        <v>175</v>
      </c>
      <c r="E22" s="6" t="s">
        <v>175</v>
      </c>
      <c r="F22" s="6" t="s">
        <v>175</v>
      </c>
      <c r="G22" s="6" t="s">
        <v>175</v>
      </c>
      <c r="H22" s="6" t="s">
        <v>175</v>
      </c>
      <c r="I22" s="6" t="s">
        <v>175</v>
      </c>
      <c r="J22" s="6" t="s">
        <v>175</v>
      </c>
      <c r="K22" s="6" t="s">
        <v>175</v>
      </c>
      <c r="L22" s="6" t="s">
        <v>175</v>
      </c>
      <c r="M22" s="6" t="s">
        <v>175</v>
      </c>
      <c r="N22" s="2"/>
    </row>
    <row r="23" customFormat="false" ht="18.75" hidden="false" customHeight="true" outlineLevel="0" collapsed="false">
      <c r="A23" s="2"/>
      <c r="B23" s="7" t="s">
        <v>176</v>
      </c>
      <c r="C23" s="7" t="s">
        <v>176</v>
      </c>
      <c r="D23" s="7" t="s">
        <v>176</v>
      </c>
      <c r="E23" s="7" t="s">
        <v>176</v>
      </c>
      <c r="F23" s="7" t="s">
        <v>176</v>
      </c>
      <c r="G23" s="7" t="s">
        <v>176</v>
      </c>
      <c r="H23" s="7" t="s">
        <v>176</v>
      </c>
      <c r="I23" s="7" t="s">
        <v>176</v>
      </c>
      <c r="J23" s="7" t="s">
        <v>176</v>
      </c>
      <c r="K23" s="7" t="s">
        <v>176</v>
      </c>
      <c r="L23" s="7" t="s">
        <v>176</v>
      </c>
      <c r="M23" s="7" t="s">
        <v>176</v>
      </c>
      <c r="N23" s="2"/>
    </row>
    <row r="24" customFormat="false" ht="18.75" hidden="false" customHeight="true" outlineLevel="0" collapsed="false">
      <c r="A24" s="2"/>
      <c r="B24" s="7" t="s">
        <v>176</v>
      </c>
      <c r="C24" s="7" t="s">
        <v>176</v>
      </c>
      <c r="D24" s="7" t="s">
        <v>176</v>
      </c>
      <c r="E24" s="7" t="s">
        <v>176</v>
      </c>
      <c r="F24" s="7" t="s">
        <v>176</v>
      </c>
      <c r="G24" s="7" t="s">
        <v>176</v>
      </c>
      <c r="H24" s="7" t="s">
        <v>176</v>
      </c>
      <c r="I24" s="7" t="s">
        <v>176</v>
      </c>
      <c r="J24" s="7" t="s">
        <v>176</v>
      </c>
      <c r="K24" s="7" t="s">
        <v>176</v>
      </c>
      <c r="L24" s="7" t="s">
        <v>176</v>
      </c>
      <c r="M24" s="7" t="s">
        <v>176</v>
      </c>
      <c r="N24" s="2"/>
    </row>
    <row r="25" customFormat="false" ht="18.75" hidden="false" customHeight="true" outlineLevel="0" collapsed="false">
      <c r="A25" s="2"/>
      <c r="B25" s="7" t="s">
        <v>176</v>
      </c>
      <c r="C25" s="7" t="s">
        <v>176</v>
      </c>
      <c r="D25" s="7" t="s">
        <v>176</v>
      </c>
      <c r="E25" s="7" t="s">
        <v>176</v>
      </c>
      <c r="F25" s="7" t="s">
        <v>176</v>
      </c>
      <c r="G25" s="7" t="s">
        <v>176</v>
      </c>
      <c r="H25" s="7" t="s">
        <v>176</v>
      </c>
      <c r="I25" s="7" t="s">
        <v>176</v>
      </c>
      <c r="J25" s="7" t="s">
        <v>176</v>
      </c>
      <c r="K25" s="7" t="s">
        <v>176</v>
      </c>
      <c r="L25" s="7" t="s">
        <v>176</v>
      </c>
      <c r="M25" s="7" t="s">
        <v>176</v>
      </c>
      <c r="N25" s="2"/>
    </row>
    <row r="26" customFormat="false" ht="18.75" hidden="false" customHeight="true" outlineLevel="0" collapsed="false">
      <c r="A26" s="2"/>
      <c r="B26" s="7" t="s">
        <v>176</v>
      </c>
      <c r="C26" s="7" t="s">
        <v>176</v>
      </c>
      <c r="D26" s="7" t="s">
        <v>176</v>
      </c>
      <c r="E26" s="7" t="s">
        <v>176</v>
      </c>
      <c r="F26" s="7" t="s">
        <v>176</v>
      </c>
      <c r="G26" s="7" t="s">
        <v>176</v>
      </c>
      <c r="H26" s="7" t="s">
        <v>176</v>
      </c>
      <c r="I26" s="7" t="s">
        <v>176</v>
      </c>
      <c r="J26" s="7" t="s">
        <v>176</v>
      </c>
      <c r="K26" s="7" t="s">
        <v>176</v>
      </c>
      <c r="L26" s="7" t="s">
        <v>176</v>
      </c>
      <c r="M26" s="7" t="s">
        <v>176</v>
      </c>
      <c r="N26" s="2"/>
    </row>
    <row r="27" customFormat="false" ht="18.75" hidden="false" customHeight="true" outlineLevel="0" collapsed="false">
      <c r="A27" s="2"/>
      <c r="B27" s="2"/>
      <c r="C27" s="2"/>
      <c r="D27" s="2"/>
      <c r="E27" s="2"/>
      <c r="F27" s="2"/>
      <c r="G27" s="2"/>
      <c r="H27" s="2"/>
      <c r="I27" s="2"/>
      <c r="J27" s="2"/>
      <c r="K27" s="2"/>
      <c r="L27" s="2"/>
      <c r="M27" s="2"/>
      <c r="N27" s="2"/>
    </row>
    <row r="28" customFormat="false" ht="18.75" hidden="false" customHeight="true" outlineLevel="0" collapsed="false">
      <c r="A28" s="2"/>
      <c r="B28" s="6" t="s">
        <v>177</v>
      </c>
      <c r="C28" s="6" t="s">
        <v>177</v>
      </c>
      <c r="D28" s="6" t="s">
        <v>177</v>
      </c>
      <c r="E28" s="6" t="s">
        <v>177</v>
      </c>
      <c r="F28" s="6" t="s">
        <v>177</v>
      </c>
      <c r="G28" s="6" t="s">
        <v>177</v>
      </c>
      <c r="H28" s="6" t="s">
        <v>177</v>
      </c>
      <c r="I28" s="6" t="s">
        <v>177</v>
      </c>
      <c r="J28" s="6" t="s">
        <v>177</v>
      </c>
      <c r="K28" s="6" t="s">
        <v>177</v>
      </c>
      <c r="L28" s="6" t="s">
        <v>177</v>
      </c>
      <c r="M28" s="6" t="s">
        <v>177</v>
      </c>
      <c r="N28" s="2"/>
    </row>
    <row r="29" customFormat="false" ht="18.75" hidden="false" customHeight="true" outlineLevel="0" collapsed="false">
      <c r="A29" s="2"/>
      <c r="B29" s="6" t="s">
        <v>177</v>
      </c>
      <c r="C29" s="6" t="s">
        <v>177</v>
      </c>
      <c r="D29" s="6" t="s">
        <v>177</v>
      </c>
      <c r="E29" s="6" t="s">
        <v>177</v>
      </c>
      <c r="F29" s="6" t="s">
        <v>177</v>
      </c>
      <c r="G29" s="6" t="s">
        <v>177</v>
      </c>
      <c r="H29" s="6" t="s">
        <v>177</v>
      </c>
      <c r="I29" s="6" t="s">
        <v>177</v>
      </c>
      <c r="J29" s="6" t="s">
        <v>177</v>
      </c>
      <c r="K29" s="6" t="s">
        <v>177</v>
      </c>
      <c r="L29" s="6" t="s">
        <v>177</v>
      </c>
      <c r="M29" s="6" t="s">
        <v>177</v>
      </c>
      <c r="N29" s="2"/>
    </row>
    <row r="30" customFormat="false" ht="18.75" hidden="false" customHeight="true" outlineLevel="0" collapsed="false">
      <c r="A30" s="2"/>
      <c r="B30" s="7" t="s">
        <v>178</v>
      </c>
      <c r="C30" s="7" t="s">
        <v>178</v>
      </c>
      <c r="D30" s="7" t="s">
        <v>178</v>
      </c>
      <c r="E30" s="7" t="s">
        <v>178</v>
      </c>
      <c r="F30" s="7" t="s">
        <v>178</v>
      </c>
      <c r="G30" s="7" t="s">
        <v>178</v>
      </c>
      <c r="H30" s="7" t="s">
        <v>178</v>
      </c>
      <c r="I30" s="7" t="s">
        <v>178</v>
      </c>
      <c r="J30" s="7" t="s">
        <v>178</v>
      </c>
      <c r="K30" s="7" t="s">
        <v>178</v>
      </c>
      <c r="L30" s="7" t="s">
        <v>178</v>
      </c>
      <c r="M30" s="7" t="s">
        <v>178</v>
      </c>
      <c r="N30" s="2"/>
    </row>
    <row r="31" customFormat="false" ht="18.75" hidden="false" customHeight="true" outlineLevel="0" collapsed="false">
      <c r="A31" s="2"/>
      <c r="B31" s="7" t="s">
        <v>178</v>
      </c>
      <c r="C31" s="7" t="s">
        <v>178</v>
      </c>
      <c r="D31" s="7" t="s">
        <v>178</v>
      </c>
      <c r="E31" s="7" t="s">
        <v>178</v>
      </c>
      <c r="F31" s="7" t="s">
        <v>178</v>
      </c>
      <c r="G31" s="7" t="s">
        <v>178</v>
      </c>
      <c r="H31" s="7" t="s">
        <v>178</v>
      </c>
      <c r="I31" s="7" t="s">
        <v>178</v>
      </c>
      <c r="J31" s="7" t="s">
        <v>178</v>
      </c>
      <c r="K31" s="7" t="s">
        <v>178</v>
      </c>
      <c r="L31" s="7" t="s">
        <v>178</v>
      </c>
      <c r="M31" s="7" t="s">
        <v>178</v>
      </c>
      <c r="N31" s="2"/>
    </row>
    <row r="32" customFormat="false" ht="18.75" hidden="false" customHeight="true" outlineLevel="0" collapsed="false">
      <c r="A32" s="2"/>
      <c r="B32" s="7" t="s">
        <v>178</v>
      </c>
      <c r="C32" s="7" t="s">
        <v>178</v>
      </c>
      <c r="D32" s="7" t="s">
        <v>178</v>
      </c>
      <c r="E32" s="7" t="s">
        <v>178</v>
      </c>
      <c r="F32" s="7" t="s">
        <v>178</v>
      </c>
      <c r="G32" s="7" t="s">
        <v>178</v>
      </c>
      <c r="H32" s="7" t="s">
        <v>178</v>
      </c>
      <c r="I32" s="7" t="s">
        <v>178</v>
      </c>
      <c r="J32" s="7" t="s">
        <v>178</v>
      </c>
      <c r="K32" s="7" t="s">
        <v>178</v>
      </c>
      <c r="L32" s="7" t="s">
        <v>178</v>
      </c>
      <c r="M32" s="7" t="s">
        <v>178</v>
      </c>
      <c r="N32" s="2"/>
    </row>
    <row r="33" customFormat="false" ht="18.75" hidden="false" customHeight="true" outlineLevel="0" collapsed="false">
      <c r="A33" s="2"/>
      <c r="B33" s="7" t="s">
        <v>178</v>
      </c>
      <c r="C33" s="7" t="s">
        <v>178</v>
      </c>
      <c r="D33" s="7" t="s">
        <v>178</v>
      </c>
      <c r="E33" s="7" t="s">
        <v>178</v>
      </c>
      <c r="F33" s="7" t="s">
        <v>178</v>
      </c>
      <c r="G33" s="7" t="s">
        <v>178</v>
      </c>
      <c r="H33" s="7" t="s">
        <v>178</v>
      </c>
      <c r="I33" s="7" t="s">
        <v>178</v>
      </c>
      <c r="J33" s="7" t="s">
        <v>178</v>
      </c>
      <c r="K33" s="7" t="s">
        <v>178</v>
      </c>
      <c r="L33" s="7" t="s">
        <v>178</v>
      </c>
      <c r="M33" s="7" t="s">
        <v>178</v>
      </c>
      <c r="N33" s="2"/>
    </row>
    <row r="34" customFormat="false" ht="18.75" hidden="false" customHeight="true" outlineLevel="0" collapsed="false">
      <c r="A34" s="2"/>
      <c r="B34" s="2"/>
      <c r="C34" s="2"/>
      <c r="D34" s="2"/>
      <c r="E34" s="2"/>
      <c r="F34" s="2"/>
      <c r="G34" s="2"/>
      <c r="H34" s="2"/>
      <c r="I34" s="2"/>
      <c r="J34" s="2"/>
      <c r="K34" s="2"/>
      <c r="L34" s="2"/>
      <c r="M34" s="2"/>
      <c r="N34" s="2"/>
    </row>
    <row r="35" customFormat="false" ht="18.75" hidden="false" customHeight="true" outlineLevel="0" collapsed="false">
      <c r="A35" s="2"/>
      <c r="B35" s="2"/>
      <c r="C35" s="2"/>
      <c r="D35" s="2"/>
      <c r="E35" s="2"/>
      <c r="F35" s="2"/>
      <c r="G35" s="2"/>
      <c r="H35" s="2"/>
      <c r="I35" s="2"/>
      <c r="J35" s="2"/>
      <c r="K35" s="2"/>
      <c r="L35" s="2"/>
      <c r="M35" s="2"/>
      <c r="N35" s="2"/>
    </row>
    <row r="36" customFormat="false" ht="18.75" hidden="false" customHeight="true" outlineLevel="0" collapsed="false">
      <c r="A36" s="2"/>
      <c r="B36" s="2"/>
      <c r="C36" s="2"/>
      <c r="D36" s="2"/>
      <c r="E36" s="2"/>
      <c r="F36" s="2"/>
      <c r="G36" s="2"/>
      <c r="H36" s="2"/>
      <c r="I36" s="2"/>
      <c r="J36" s="2"/>
      <c r="K36" s="2"/>
      <c r="L36" s="2"/>
      <c r="M36" s="2"/>
      <c r="N36" s="2"/>
    </row>
    <row r="37" customFormat="false" ht="18.75" hidden="false" customHeight="true" outlineLevel="0" collapsed="false">
      <c r="A37" s="2"/>
      <c r="B37" s="2"/>
      <c r="C37" s="2"/>
      <c r="D37" s="2"/>
      <c r="E37" s="2"/>
      <c r="F37" s="2"/>
      <c r="G37" s="2"/>
      <c r="H37" s="2"/>
      <c r="I37" s="2"/>
      <c r="J37" s="2"/>
      <c r="K37" s="2"/>
      <c r="L37" s="2"/>
      <c r="M37" s="2"/>
      <c r="N37" s="2"/>
    </row>
    <row r="38" customFormat="false" ht="18.75" hidden="false" customHeight="true" outlineLevel="0" collapsed="false">
      <c r="A38" s="2"/>
      <c r="B38" s="2"/>
      <c r="C38" s="2"/>
      <c r="D38" s="2"/>
      <c r="E38" s="2"/>
      <c r="F38" s="2"/>
      <c r="G38" s="2"/>
      <c r="H38" s="2"/>
      <c r="I38" s="2"/>
      <c r="J38" s="2"/>
      <c r="K38" s="2"/>
      <c r="L38" s="2"/>
      <c r="M38" s="2"/>
      <c r="N38" s="2"/>
    </row>
  </sheetData>
  <mergeCells count="9">
    <mergeCell ref="B2:M3"/>
    <mergeCell ref="B4:M4"/>
    <mergeCell ref="B6:M11"/>
    <mergeCell ref="B14:M15"/>
    <mergeCell ref="B16:M19"/>
    <mergeCell ref="B21:M22"/>
    <mergeCell ref="B23:M26"/>
    <mergeCell ref="B28:M29"/>
    <mergeCell ref="B30:M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I24" activeCellId="0" sqref="I24"/>
    </sheetView>
  </sheetViews>
  <sheetFormatPr defaultColWidth="8.6796875" defaultRowHeight="15" customHeight="false" zeroHeight="false" outlineLevelRow="0" outlineLevelCol="0"/>
  <cols>
    <col collapsed="false" customWidth="true" hidden="false" outlineLevel="0" max="1" min="1" style="1" width="8.13"/>
    <col collapsed="false" customWidth="true" hidden="false" outlineLevel="0" max="2" min="2" style="1" width="27.5"/>
    <col collapsed="false" customWidth="true" hidden="false" outlineLevel="0" max="3" min="3" style="1" width="51.25"/>
    <col collapsed="false" customWidth="true" hidden="false" outlineLevel="0" max="4" min="4" style="1" width="69.38"/>
  </cols>
  <sheetData>
    <row r="1" customFormat="false" ht="21" hidden="false" customHeight="true" outlineLevel="0" collapsed="false">
      <c r="A1" s="9"/>
      <c r="B1" s="9"/>
      <c r="C1" s="9"/>
      <c r="D1" s="9"/>
    </row>
    <row r="2" customFormat="false" ht="21" hidden="false" customHeight="true" outlineLevel="0" collapsed="false">
      <c r="A2" s="10" t="s">
        <v>179</v>
      </c>
      <c r="B2" s="11"/>
      <c r="C2" s="11"/>
      <c r="D2" s="11"/>
    </row>
    <row r="3" customFormat="false" ht="21" hidden="false" customHeight="true" outlineLevel="0" collapsed="false">
      <c r="A3" s="11" t="s">
        <v>180</v>
      </c>
      <c r="B3" s="11"/>
      <c r="C3" s="11"/>
      <c r="D3" s="11"/>
    </row>
    <row r="4" customFormat="false" ht="21" hidden="false" customHeight="true" outlineLevel="0" collapsed="false">
      <c r="A4" s="9"/>
      <c r="B4" s="9"/>
      <c r="C4" s="9"/>
      <c r="D4" s="9"/>
    </row>
    <row r="5" customFormat="false" ht="26.25" hidden="false" customHeight="true" outlineLevel="0" collapsed="false">
      <c r="A5" s="12" t="s">
        <v>181</v>
      </c>
      <c r="B5" s="12" t="s">
        <v>182</v>
      </c>
      <c r="C5" s="12" t="s">
        <v>183</v>
      </c>
      <c r="D5" s="12" t="s">
        <v>184</v>
      </c>
    </row>
    <row r="6" customFormat="false" ht="51" hidden="false" customHeight="true" outlineLevel="0" collapsed="false">
      <c r="A6" s="36" t="s">
        <v>185</v>
      </c>
      <c r="B6" s="36" t="s">
        <v>186</v>
      </c>
      <c r="C6" s="36" t="s">
        <v>187</v>
      </c>
      <c r="D6" s="36" t="s">
        <v>188</v>
      </c>
    </row>
    <row r="7" customFormat="false" ht="51" hidden="false" customHeight="true" outlineLevel="0" collapsed="false">
      <c r="A7" s="36" t="s">
        <v>189</v>
      </c>
      <c r="B7" s="36" t="s">
        <v>190</v>
      </c>
      <c r="C7" s="36" t="s">
        <v>191</v>
      </c>
      <c r="D7" s="36" t="s">
        <v>192</v>
      </c>
    </row>
    <row r="8" customFormat="false" ht="51" hidden="false" customHeight="true" outlineLevel="0" collapsed="false">
      <c r="A8" s="36" t="s">
        <v>193</v>
      </c>
      <c r="B8" s="36" t="s">
        <v>194</v>
      </c>
      <c r="C8" s="36" t="s">
        <v>195</v>
      </c>
      <c r="D8" s="36" t="s">
        <v>196</v>
      </c>
    </row>
    <row r="9" customFormat="false" ht="51" hidden="false" customHeight="true" outlineLevel="0" collapsed="false">
      <c r="A9" s="36" t="s">
        <v>197</v>
      </c>
      <c r="B9" s="36" t="s">
        <v>198</v>
      </c>
      <c r="C9" s="36" t="s">
        <v>199</v>
      </c>
      <c r="D9" s="36" t="s">
        <v>200</v>
      </c>
    </row>
    <row r="10" customFormat="false" ht="51" hidden="false" customHeight="true" outlineLevel="0" collapsed="false">
      <c r="A10" s="36" t="s">
        <v>201</v>
      </c>
      <c r="B10" s="36" t="s">
        <v>202</v>
      </c>
      <c r="C10" s="36" t="s">
        <v>203</v>
      </c>
      <c r="D10" s="36" t="s">
        <v>204</v>
      </c>
    </row>
    <row r="11" customFormat="false" ht="51" hidden="false" customHeight="true" outlineLevel="0" collapsed="false">
      <c r="A11" s="36" t="s">
        <v>205</v>
      </c>
      <c r="B11" s="36" t="s">
        <v>206</v>
      </c>
      <c r="C11" s="36" t="s">
        <v>207</v>
      </c>
      <c r="D11" s="36" t="s">
        <v>208</v>
      </c>
    </row>
    <row r="12" customFormat="false" ht="51" hidden="false" customHeight="true" outlineLevel="0" collapsed="false">
      <c r="A12" s="36" t="s">
        <v>209</v>
      </c>
      <c r="B12" s="36" t="s">
        <v>210</v>
      </c>
      <c r="C12" s="36" t="s">
        <v>211</v>
      </c>
      <c r="D12" s="36" t="s">
        <v>212</v>
      </c>
    </row>
    <row r="13" customFormat="false" ht="51" hidden="false" customHeight="true" outlineLevel="0" collapsed="false">
      <c r="A13" s="36" t="s">
        <v>213</v>
      </c>
      <c r="B13" s="36" t="s">
        <v>214</v>
      </c>
      <c r="C13" s="36" t="s">
        <v>215</v>
      </c>
      <c r="D13" s="36" t="s">
        <v>216</v>
      </c>
    </row>
    <row r="14" customFormat="false" ht="51" hidden="false" customHeight="true" outlineLevel="0" collapsed="false">
      <c r="A14" s="36" t="s">
        <v>217</v>
      </c>
      <c r="B14" s="36" t="s">
        <v>218</v>
      </c>
      <c r="C14" s="36" t="s">
        <v>219</v>
      </c>
      <c r="D14" s="36" t="s">
        <v>220</v>
      </c>
    </row>
    <row r="15" customFormat="false" ht="51" hidden="false" customHeight="true" outlineLevel="0" collapsed="false">
      <c r="A15" s="36" t="s">
        <v>221</v>
      </c>
      <c r="B15" s="36" t="s">
        <v>222</v>
      </c>
      <c r="C15" s="36" t="s">
        <v>223</v>
      </c>
      <c r="D15" s="36" t="s">
        <v>224</v>
      </c>
    </row>
    <row r="16" customFormat="false" ht="51" hidden="false" customHeight="true" outlineLevel="0" collapsed="false">
      <c r="A16" s="36" t="s">
        <v>225</v>
      </c>
      <c r="B16" s="36" t="s">
        <v>226</v>
      </c>
      <c r="C16" s="36" t="s">
        <v>227</v>
      </c>
      <c r="D16" s="36" t="s">
        <v>228</v>
      </c>
    </row>
    <row r="17" customFormat="false" ht="51" hidden="false" customHeight="true" outlineLevel="0" collapsed="false">
      <c r="A17" s="36" t="s">
        <v>229</v>
      </c>
      <c r="B17" s="36" t="s">
        <v>230</v>
      </c>
      <c r="C17" s="36" t="s">
        <v>231</v>
      </c>
      <c r="D17" s="36" t="s">
        <v>232</v>
      </c>
    </row>
    <row r="18" customFormat="false" ht="51" hidden="false" customHeight="true" outlineLevel="0" collapsed="false">
      <c r="A18" s="36" t="s">
        <v>233</v>
      </c>
      <c r="B18" s="36" t="s">
        <v>234</v>
      </c>
      <c r="C18" s="36" t="s">
        <v>235</v>
      </c>
      <c r="D18" s="36" t="s">
        <v>236</v>
      </c>
    </row>
    <row r="19" customFormat="false" ht="51" hidden="false" customHeight="true" outlineLevel="0" collapsed="false">
      <c r="A19" s="36" t="s">
        <v>237</v>
      </c>
      <c r="B19" s="36" t="s">
        <v>238</v>
      </c>
      <c r="C19" s="36" t="s">
        <v>239</v>
      </c>
      <c r="D19" s="36" t="s">
        <v>240</v>
      </c>
    </row>
    <row r="20" customFormat="false" ht="51" hidden="false" customHeight="true" outlineLevel="0" collapsed="false">
      <c r="A20" s="36" t="s">
        <v>241</v>
      </c>
      <c r="B20" s="36" t="s">
        <v>242</v>
      </c>
      <c r="C20" s="36" t="s">
        <v>243</v>
      </c>
      <c r="D20" s="36" t="s">
        <v>244</v>
      </c>
    </row>
    <row r="21" customFormat="false" ht="51" hidden="false" customHeight="true" outlineLevel="0" collapsed="false">
      <c r="A21" s="36" t="s">
        <v>245</v>
      </c>
      <c r="B21" s="36" t="s">
        <v>246</v>
      </c>
      <c r="C21" s="36" t="s">
        <v>247</v>
      </c>
      <c r="D21" s="36" t="s">
        <v>248</v>
      </c>
    </row>
    <row r="22" customFormat="false" ht="51" hidden="false" customHeight="true" outlineLevel="0" collapsed="false">
      <c r="A22" s="36" t="s">
        <v>249</v>
      </c>
      <c r="B22" s="36" t="s">
        <v>250</v>
      </c>
      <c r="C22" s="36" t="s">
        <v>251</v>
      </c>
      <c r="D22" s="36" t="s">
        <v>252</v>
      </c>
    </row>
    <row r="23" customFormat="false" ht="51" hidden="false" customHeight="true" outlineLevel="0" collapsed="false">
      <c r="A23" s="36" t="s">
        <v>253</v>
      </c>
      <c r="B23" s="36" t="s">
        <v>254</v>
      </c>
      <c r="C23" s="36" t="s">
        <v>255</v>
      </c>
      <c r="D23" s="36" t="s">
        <v>256</v>
      </c>
    </row>
    <row r="24" customFormat="false" ht="64.5" hidden="false" customHeight="true" outlineLevel="0" collapsed="false">
      <c r="A24" s="36" t="s">
        <v>257</v>
      </c>
      <c r="B24" s="36" t="s">
        <v>258</v>
      </c>
      <c r="C24" s="36" t="s">
        <v>259</v>
      </c>
      <c r="D24" s="36" t="s">
        <v>260</v>
      </c>
    </row>
    <row r="25" customFormat="false" ht="64.5" hidden="false" customHeight="true" outlineLevel="0" collapsed="false">
      <c r="A25" s="36" t="s">
        <v>261</v>
      </c>
      <c r="B25" s="36" t="s">
        <v>262</v>
      </c>
      <c r="C25" s="36" t="s">
        <v>263</v>
      </c>
      <c r="D25" s="36" t="s">
        <v>264</v>
      </c>
    </row>
    <row r="26" customFormat="false" ht="64.5" hidden="false" customHeight="true" outlineLevel="0" collapsed="false">
      <c r="A26" s="36" t="s">
        <v>265</v>
      </c>
      <c r="B26" s="36" t="s">
        <v>266</v>
      </c>
      <c r="C26" s="36" t="s">
        <v>267</v>
      </c>
      <c r="D26" s="36" t="s">
        <v>268</v>
      </c>
    </row>
    <row r="27" customFormat="false" ht="64.5" hidden="false" customHeight="true" outlineLevel="0" collapsed="false">
      <c r="A27" s="36" t="s">
        <v>269</v>
      </c>
      <c r="B27" s="36" t="s">
        <v>270</v>
      </c>
      <c r="C27" s="36" t="s">
        <v>271</v>
      </c>
      <c r="D27" s="36" t="s">
        <v>272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1"/>
  <sheetViews>
    <sheetView showFormulas="false" showGridLines="true" showRowColHeaders="true" showZeros="true" rightToLeft="false" tabSelected="true" showOutlineSymbols="true" defaultGridColor="true" view="normal" topLeftCell="A121" colorId="64" zoomScale="110" zoomScaleNormal="110" zoomScalePageLayoutView="100" workbookViewId="0">
      <selection pane="topLeft" activeCell="D85" activeCellId="0" sqref="D85"/>
    </sheetView>
  </sheetViews>
  <sheetFormatPr defaultColWidth="11.53515625" defaultRowHeight="12.8" customHeight="false" zeroHeight="false" outlineLevelRow="0" outlineLevelCol="0"/>
  <cols>
    <col collapsed="false" customWidth="true" hidden="false" outlineLevel="0" max="27" min="20" style="0" width="3.48"/>
  </cols>
  <sheetData>
    <row r="1" customFormat="false" ht="12.8" hidden="false" customHeight="false" outlineLevel="0" collapsed="false">
      <c r="A1" s="0" t="s">
        <v>273</v>
      </c>
    </row>
    <row r="2" customFormat="false" ht="12.8" hidden="false" customHeight="false" outlineLevel="0" collapsed="false">
      <c r="A2" s="0" t="s">
        <v>274</v>
      </c>
    </row>
    <row r="3" customFormat="false" ht="12.8" hidden="false" customHeight="false" outlineLevel="0" collapsed="false">
      <c r="A3" s="0" t="s">
        <v>275</v>
      </c>
    </row>
    <row r="75" customFormat="false" ht="15" hidden="false" customHeight="false" outlineLevel="0" collapsed="false">
      <c r="A75" s="37" t="s">
        <v>276</v>
      </c>
    </row>
    <row r="76" customFormat="false" ht="16.75" hidden="false" customHeight="false" outlineLevel="0" collapsed="false">
      <c r="A76" s="38" t="s">
        <v>277</v>
      </c>
    </row>
    <row r="77" customFormat="false" ht="15" hidden="false" customHeight="false" outlineLevel="0" collapsed="false">
      <c r="A77" s="38"/>
    </row>
    <row r="78" customFormat="false" ht="15" hidden="false" customHeight="false" outlineLevel="0" collapsed="false">
      <c r="A78" s="37" t="s">
        <v>278</v>
      </c>
    </row>
    <row r="79" customFormat="false" ht="15" hidden="false" customHeight="false" outlineLevel="0" collapsed="false">
      <c r="A79" s="38" t="s">
        <v>279</v>
      </c>
    </row>
    <row r="80" customFormat="false" ht="15" hidden="false" customHeight="false" outlineLevel="0" collapsed="false">
      <c r="A80" s="38"/>
    </row>
    <row r="81" customFormat="false" ht="15" hidden="false" customHeight="false" outlineLevel="0" collapsed="false">
      <c r="A81" s="37" t="s">
        <v>280</v>
      </c>
    </row>
    <row r="82" customFormat="false" ht="16.75" hidden="false" customHeight="false" outlineLevel="0" collapsed="false">
      <c r="A82" s="38" t="s">
        <v>281</v>
      </c>
    </row>
    <row r="83" customFormat="false" ht="15" hidden="false" customHeight="false" outlineLevel="0" collapsed="false">
      <c r="A83" s="38"/>
    </row>
    <row r="84" customFormat="false" ht="15" hidden="false" customHeight="false" outlineLevel="0" collapsed="false">
      <c r="A84" s="37" t="s">
        <v>282</v>
      </c>
    </row>
    <row r="85" customFormat="false" ht="16.75" hidden="false" customHeight="false" outlineLevel="0" collapsed="false">
      <c r="A85" s="38" t="s">
        <v>283</v>
      </c>
    </row>
    <row r="86" customFormat="false" ht="15" hidden="false" customHeight="false" outlineLevel="0" collapsed="false">
      <c r="A86" s="38" t="s">
        <v>284</v>
      </c>
    </row>
    <row r="87" customFormat="false" ht="15" hidden="false" customHeight="false" outlineLevel="0" collapsed="false">
      <c r="A87" s="38"/>
    </row>
    <row r="88" customFormat="false" ht="16.75" hidden="false" customHeight="false" outlineLevel="0" collapsed="false">
      <c r="A88" s="37" t="s">
        <v>285</v>
      </c>
    </row>
    <row r="89" customFormat="false" ht="16.75" hidden="false" customHeight="false" outlineLevel="0" collapsed="false">
      <c r="A89" s="38" t="s">
        <v>286</v>
      </c>
    </row>
    <row r="90" customFormat="false" ht="15" hidden="false" customHeight="false" outlineLevel="0" collapsed="false">
      <c r="A90" s="38"/>
    </row>
    <row r="91" customFormat="false" ht="16.75" hidden="false" customHeight="false" outlineLevel="0" collapsed="false">
      <c r="A91" s="38" t="s">
        <v>287</v>
      </c>
    </row>
    <row r="141" customFormat="false" ht="13.55" hidden="false" customHeight="false" outlineLevel="0" collapsed="false">
      <c r="A141" s="39" t="s">
        <v>288</v>
      </c>
    </row>
    <row r="142" customFormat="false" ht="12.8" hidden="false" customHeight="false" outlineLevel="0" collapsed="false">
      <c r="A142" s="0" t="s">
        <v>289</v>
      </c>
    </row>
    <row r="144" customFormat="false" ht="12.8" hidden="false" customHeight="false" outlineLevel="0" collapsed="false">
      <c r="A144" s="39" t="s">
        <v>290</v>
      </c>
    </row>
    <row r="145" customFormat="false" ht="12.8" hidden="false" customHeight="false" outlineLevel="0" collapsed="false">
      <c r="A145" s="0" t="s">
        <v>291</v>
      </c>
    </row>
    <row r="147" customFormat="false" ht="12.8" hidden="false" customHeight="false" outlineLevel="0" collapsed="false">
      <c r="A147" s="39" t="s">
        <v>292</v>
      </c>
    </row>
    <row r="148" customFormat="false" ht="12.8" hidden="false" customHeight="false" outlineLevel="0" collapsed="false">
      <c r="A148" s="0" t="s">
        <v>293</v>
      </c>
    </row>
    <row r="150" customFormat="false" ht="13.55" hidden="false" customHeight="false" outlineLevel="0" collapsed="false">
      <c r="A150" s="39" t="s">
        <v>294</v>
      </c>
    </row>
    <row r="151" customFormat="false" ht="12.8" hidden="false" customHeight="false" outlineLevel="0" collapsed="false">
      <c r="A151" s="0" t="s">
        <v>295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drawing r:id="rId1"/>
</worksheet>
</file>

<file path=docProps/app.xml><?xml version="1.0" encoding="utf-8"?>
<Properties xmlns="http://schemas.openxmlformats.org/officeDocument/2006/extended-properties" xmlns:vt="http://schemas.openxmlformats.org/officeDocument/2006/docPropsVTypes">
  <Template/>
  <TotalTime>1053</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ja-JP</dc:language>
  <cp:lastModifiedBy/>
  <dcterms:modified xsi:type="dcterms:W3CDTF">2026-10-07T09:42:22Z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